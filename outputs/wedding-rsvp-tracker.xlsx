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d6414ec9564a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asim" sheetId="1" r:id="R9d546ca0c6574ec8"/>
    <x:sheet xmlns:r="http://schemas.openxmlformats.org/officeDocument/2006/relationships" name="Moksha" sheetId="2" r:id="Rda14e69a3c274f52"/>
    <x:sheet xmlns:r="http://schemas.openxmlformats.org/officeDocument/2006/relationships" name="Summary" sheetId="3" r:id="R9a004549439540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yyyy-mm-dd hh:mm"/>
    <x:numFmt numFmtId="202" formatCode="0%"/>
  </x:numFmts>
  <x:fonts count="8">
    <x:font>
      <x:sz val="11"/>
      <x:name val="Carlito"/>
    </x:font>
    <x:font>
      <x:b/>
      <x:sz val="20"/>
      <x:color rgb="FFFFFAF0"/>
      <x:name val="Carlito"/>
    </x:font>
    <x:font>
      <x:i/>
      <x:sz val="11"/>
      <x:color rgb="FF2F261D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sz val="11"/>
      <x:color rgb="FF2F261D"/>
      <x:name val="Carlito"/>
    </x:font>
    <x:font>
      <x:b/>
      <x:sz val="11"/>
      <x:color rgb="FF344F3B"/>
      <x:name val="Carlito"/>
    </x:font>
    <x:font>
      <x:b/>
      <x:sz val="18"/>
      <x:color rgb="FF6D273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344F3B"/>
      </x:patternFill>
    </x:fill>
    <x:fill>
      <x:patternFill patternType="solid">
        <x:fgColor rgb="FFF5EAD8"/>
      </x:patternFill>
    </x:fill>
    <x:fill>
      <x:patternFill patternType="solid">
        <x:fgColor rgb="FF6D2731"/>
      </x:patternFill>
    </x:fill>
    <x:fill>
      <x:patternFill patternType="solid">
        <x:fgColor rgb="FFFFFFFF"/>
      </x:patternFill>
    </x:fill>
    <x:fill>
      <x:patternFill patternType="solid">
        <x:fgColor rgb="FF2F6F73"/>
      </x:patternFill>
    </x:fill>
    <x:fill>
      <x:patternFill patternType="solid">
        <x:fgColor rgb="FFFFFAF0"/>
      </x:patternFill>
    </x:fill>
  </x:fills>
  <x:borders count="1">
    <x:border/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200" fontId="5" fillId="5" borderId="0" xfId="0" applyNumberFormat="1" applyFont="1" applyFill="1" applyBorder="1" applyAlignment="1">
      <x:alignment vertical="top" wrapText="1"/>
    </x:xf>
    <x:xf numFmtId="201" fontId="5" fillId="5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 applyAlignment="1">
      <x:alignment horizontal="center" vertical="center"/>
    </x:xf>
    <x:xf numFmtId="0" fontId="7" fillId="7" borderId="0" xfId="0" applyNumberFormat="1" applyFont="1" applyFill="1" applyBorder="1" applyAlignment="1">
      <x:alignment horizontal="center" vertical="center"/>
    </x:xf>
    <x:xf numFmtId="202" fontId="5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4">
    <x:dxf>
      <x:font>
        <x:b/>
        <x:color rgb="FF344F3B"/>
      </x:font>
      <x:fill>
        <x:patternFill patternType="solid">
          <x:bgColor rgb="FFDDEADF"/>
        </x:patternFill>
      </x:fill>
    </x:dxf>
    <x:dxf>
      <x:font>
        <x:b/>
        <x:color rgb="FF6D2731"/>
      </x:font>
      <x:fill>
        <x:patternFill patternType="solid">
          <x:bgColor rgb="FFF3D8DE"/>
        </x:patternFill>
      </x:fill>
    </x:dxf>
    <x:dxf>
      <x:font>
        <x:b/>
        <x:color rgb="FF2F261D"/>
      </x:font>
      <x:fill>
        <x:patternFill patternType="solid">
          <x:bgColor rgb="FFF8EDCE"/>
        </x:patternFill>
      </x:fill>
    </x:dxf>
    <x:dxf>
      <x:font>
        <x:color rgb="FF344F3B"/>
      </x:font>
      <x:fill>
        <x:patternFill patternType="solid">
          <x:bgColor rgb="FFDDEADF"/>
        </x:patternFill>
      </x:fill>
    </x:dxf>
    <x:dxf>
      <x:font>
        <x:color rgb="FF6D2731"/>
      </x:font>
      <x:fill>
        <x:patternFill patternType="solid">
          <x:bgColor rgb="FFF3D8DE"/>
        </x:patternFill>
      </x:fill>
    </x:dxf>
    <x:dxf>
      <x:font>
        <x:color rgb="FF2F6F73"/>
      </x:font>
      <x:fill>
        <x:patternFill patternType="solid">
          <x:bgColor rgb="FFDDECEF"/>
        </x:patternFill>
      </x:fill>
    </x:dxf>
    <x:dxf>
      <x:font>
        <x:b/>
        <x:color rgb="FF344F3B"/>
      </x:font>
      <x:fill>
        <x:patternFill patternType="solid">
          <x:bgColor rgb="FFDDEADF"/>
        </x:patternFill>
      </x:fill>
    </x:dxf>
    <x:dxf>
      <x:font>
        <x:b/>
        <x:color rgb="FF6D2731"/>
      </x:font>
      <x:fill>
        <x:patternFill patternType="solid">
          <x:bgColor rgb="FFF3D8DE"/>
        </x:patternFill>
      </x:fill>
    </x:dxf>
    <x:dxf>
      <x:font>
        <x:b/>
        <x:color rgb="FF2F261D"/>
      </x:font>
      <x:fill>
        <x:patternFill patternType="solid">
          <x:bgColor rgb="FFF8EDCE"/>
        </x:patternFill>
      </x:fill>
    </x:dxf>
    <x:dxf>
      <x:font>
        <x:color rgb="FF344F3B"/>
      </x:font>
      <x:fill>
        <x:patternFill patternType="solid">
          <x:bgColor rgb="FFDDEADF"/>
        </x:patternFill>
      </x:fill>
    </x:dxf>
    <x:dxf>
      <x:font>
        <x:color rgb="FF6D2731"/>
      </x:font>
      <x:fill>
        <x:patternFill patternType="solid">
          <x:bgColor rgb="FFF3D8DE"/>
        </x:patternFill>
      </x:fill>
    </x:dxf>
    <x:dxf>
      <x:font>
        <x:color rgb="FF2F6F73"/>
      </x:font>
      <x:fill>
        <x:patternFill patternType="solid">
          <x:bgColor rgb="FFDDECEF"/>
        </x:patternFill>
      </x:fill>
    </x:dxf>
    <x:dxf>
      <x:font>
        <x:b/>
        <x:color rgb="FF344F3B"/>
      </x:font>
      <x:fill>
        <x:patternFill patternType="solid">
          <x:bgColor rgb="FFDDEADF"/>
        </x:patternFill>
      </x:fill>
    </x:dxf>
    <x:dxf>
      <x:font>
        <x:b/>
        <x:color rgb="FF6D2731"/>
      </x:font>
      <x:fill>
        <x:patternFill patternType="solid">
          <x:bgColor rgb="FFF3D8DE"/>
        </x:patternFill>
      </x:fill>
    </x:dxf>
    <x:dxf>
      <x:font>
        <x:b/>
        <x:color rgb="FF2F261D"/>
      </x:font>
      <x:fill>
        <x:patternFill patternType="solid">
          <x:bgColor rgb="FFF8EDCE"/>
        </x:patternFill>
      </x:fill>
    </x:dxf>
    <x:dxf>
      <x:font>
        <x:color rgb="FF344F3B"/>
      </x:font>
      <x:fill>
        <x:patternFill patternType="solid">
          <x:bgColor rgb="FFDDEADF"/>
        </x:patternFill>
      </x:fill>
    </x:dxf>
    <x:dxf>
      <x:font>
        <x:color rgb="FF6D2731"/>
      </x:font>
      <x:fill>
        <x:patternFill patternType="solid">
          <x:bgColor rgb="FFF3D8DE"/>
        </x:patternFill>
      </x:fill>
    </x:dxf>
    <x:dxf>
      <x:font>
        <x:color rgb="FF2F6F73"/>
      </x:font>
      <x:fill>
        <x:patternFill patternType="solid">
          <x:bgColor rgb="FFDDECEF"/>
        </x:patternFill>
      </x:fill>
    </x:dxf>
    <x:dxf>
      <x:font>
        <x:b/>
        <x:color rgb="FF344F3B"/>
      </x:font>
      <x:fill>
        <x:patternFill patternType="solid">
          <x:bgColor rgb="FFDDEADF"/>
        </x:patternFill>
      </x:fill>
    </x:dxf>
    <x:dxf>
      <x:font>
        <x:b/>
        <x:color rgb="FF6D2731"/>
      </x:font>
      <x:fill>
        <x:patternFill patternType="solid">
          <x:bgColor rgb="FFF3D8DE"/>
        </x:patternFill>
      </x:fill>
    </x:dxf>
    <x:dxf>
      <x:font>
        <x:b/>
        <x:color rgb="FF2F261D"/>
      </x:font>
      <x:fill>
        <x:patternFill patternType="solid">
          <x:bgColor rgb="FFF8EDCE"/>
        </x:patternFill>
      </x:fill>
    </x:dxf>
    <x:dxf>
      <x:font>
        <x:color rgb="FF344F3B"/>
      </x:font>
      <x:fill>
        <x:patternFill patternType="solid">
          <x:bgColor rgb="FFDDEADF"/>
        </x:patternFill>
      </x:fill>
    </x:dxf>
    <x:dxf>
      <x:font>
        <x:color rgb="FF6D2731"/>
      </x:font>
      <x:fill>
        <x:patternFill patternType="solid">
          <x:bgColor rgb="FFF3D8DE"/>
        </x:patternFill>
      </x:fill>
    </x:dxf>
    <x:dxf>
      <x:font>
        <x:color rgb="FF2F6F73"/>
      </x:font>
      <x:fill>
        <x:patternFill patternType="solid">
          <x:bgColor rgb="FFDDECE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5bff322de540ee" /><Relationship Type="http://schemas.openxmlformats.org/officeDocument/2006/relationships/theme" Target="/xl/theme/theme1.xml" Id="Re91b432046b74d4e" /><Relationship Type="http://schemas.openxmlformats.org/officeDocument/2006/relationships/sharedStrings" Target="/xl/sharedStrings.xml" Id="R4ff2e55e51a14d5c" /><Relationship Type="http://schemas.openxmlformats.org/officeDocument/2006/relationships/worksheet" Target="/xl/worksheets/sheet1.xml" Id="R9d546ca0c6574ec8" /><Relationship Type="http://schemas.openxmlformats.org/officeDocument/2006/relationships/worksheet" Target="/xl/worksheets/sheet2.xml" Id="Rda14e69a3c274f52" /><Relationship Type="http://schemas.openxmlformats.org/officeDocument/2006/relationships/worksheet" Target="/xl/worksheets/sheet3.xml" Id="R9a0045494395401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8d1aa88b43e4ac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RSVP Status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'Summary'!$A$15:$A$17</c:f>
              <c:strCache>
                <c:ptCount val="0"/>
              </c:strCache>
            </c:strRef>
          </c:cat>
          <c:val>
            <c:numRef>
              <c:f>'Summary'!$B$15:$B$17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13</xdr:row>
      <xdr:rowOff>0</xdr:rowOff>
    </xdr:from>
    <xdr:to>
      <xdr:col>10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8d1aa88b43e4ac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QasimFamilyTable" displayName="QasimFamilyTable" ref="A5:K8" headerRowCount="1">
  <x:tableColumns count="11">
    <x:tableColumn id="1" name="Guest ID"/>
    <x:tableColumn id="2" name="Guest"/>
    <x:tableColumn id="3" name="Invited"/>
    <x:tableColumn id="4" name="Invite Status"/>
    <x:tableColumn id="5" name="Response"/>
    <x:tableColumn id="6" name="Actual"/>
    <x:tableColumn id="7" name="Events"/>
    <x:tableColumn id="8" name="Dietary Notes"/>
    <x:tableColumn id="9" name="RSVP Message"/>
    <x:tableColumn id="10" name="Notes"/>
    <x:tableColumn id="11" name="Updated At"/>
  </x:tableColumns>
  <x:tableStyleInfo name="TableStyleMedium2" showRowStripes="1"/>
</x:table>
</file>

<file path=xl/tables/table2.xml><?xml version="1.0" encoding="utf-8"?>
<x:table xmlns:x="http://schemas.openxmlformats.org/spreadsheetml/2006/main" id="2" name="QasimFriendsTable" displayName="QasimFriendsTable" ref="M5:W32" headerRowCount="1">
  <x:tableColumns count="11">
    <x:tableColumn id="1" name="Guest ID"/>
    <x:tableColumn id="2" name="Guest"/>
    <x:tableColumn id="3" name="Invited"/>
    <x:tableColumn id="4" name="Invite Status"/>
    <x:tableColumn id="5" name="Response"/>
    <x:tableColumn id="6" name="Actual"/>
    <x:tableColumn id="7" name="Events"/>
    <x:tableColumn id="8" name="Dietary Notes"/>
    <x:tableColumn id="9" name="RSVP Message"/>
    <x:tableColumn id="10" name="Notes"/>
    <x:tableColumn id="11" name="Updated At"/>
  </x:tableColumns>
  <x:tableStyleInfo name="TableStyleMedium2" showRowStripes="1"/>
</x:table>
</file>

<file path=xl/tables/table3.xml><?xml version="1.0" encoding="utf-8"?>
<x:table xmlns:x="http://schemas.openxmlformats.org/spreadsheetml/2006/main" id="3" name="MokshaFamilyTable" displayName="MokshaFamilyTable" ref="A5:K20" headerRowCount="1">
  <x:tableColumns count="11">
    <x:tableColumn id="1" name="Guest ID"/>
    <x:tableColumn id="2" name="Guest"/>
    <x:tableColumn id="3" name="Invited"/>
    <x:tableColumn id="4" name="Invite Status"/>
    <x:tableColumn id="5" name="Response"/>
    <x:tableColumn id="6" name="Actual"/>
    <x:tableColumn id="7" name="Events"/>
    <x:tableColumn id="8" name="Dietary Notes"/>
    <x:tableColumn id="9" name="RSVP Message"/>
    <x:tableColumn id="10" name="Notes"/>
    <x:tableColumn id="11" name="Updated At"/>
  </x:tableColumns>
  <x:tableStyleInfo name="TableStyleMedium2" showRowStripes="1"/>
</x:table>
</file>

<file path=xl/tables/table4.xml><?xml version="1.0" encoding="utf-8"?>
<x:table xmlns:x="http://schemas.openxmlformats.org/spreadsheetml/2006/main" id="4" name="MokshaFriendsTable" displayName="MokshaFriendsTable" ref="M5:W30" headerRowCount="1">
  <x:tableColumns count="11">
    <x:tableColumn id="1" name="Guest ID"/>
    <x:tableColumn id="2" name="Guest"/>
    <x:tableColumn id="3" name="Invited"/>
    <x:tableColumn id="4" name="Invite Status"/>
    <x:tableColumn id="5" name="Response"/>
    <x:tableColumn id="6" name="Actual"/>
    <x:tableColumn id="7" name="Events"/>
    <x:tableColumn id="8" name="Dietary Notes"/>
    <x:tableColumn id="9" name="RSVP Message"/>
    <x:tableColumn id="10" name="Notes"/>
    <x:tableColumn id="11" name="Updated 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e4d7db9cf6747f3" /><Relationship Type="http://schemas.openxmlformats.org/officeDocument/2006/relationships/table" Target="/xl/tables/table2.xml" Id="R1d985aeaca2c4ad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9925decaf0424937" /><Relationship Type="http://schemas.openxmlformats.org/officeDocument/2006/relationships/table" Target="/xl/tables/table4.xml" Id="R058610751c27456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68fc50be0d1146d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5600004196167" hidden="0" customWidth="1"/>
    <x:col min="2" max="2" width="21.110000610351562" hidden="0" customWidth="1"/>
    <x:col min="3" max="3" width="7.78000020980835" hidden="0" customWidth="1"/>
    <x:col min="4" max="4" width="12.4399995803833" hidden="0" customWidth="1"/>
    <x:col min="5" max="5" width="12.220000267028809" hidden="0" customWidth="1"/>
    <x:col min="6" max="6" width="7.78000020980835" hidden="0" customWidth="1"/>
    <x:col min="7" max="7" width="21.110000610351562" hidden="0" customWidth="1"/>
    <x:col min="8" max="8" width="18.889999389648438" hidden="0" customWidth="1"/>
    <x:col min="9" max="9" width="23.329999923706055" hidden="0" customWidth="1"/>
    <x:col min="10" max="10" width="21.110000610351562" hidden="0" customWidth="1"/>
    <x:col min="11" max="11" width="15.5600004196167" hidden="0" customWidth="1"/>
    <x:col min="12" max="12" width="3.109999895095825" hidden="0" customWidth="1"/>
    <x:col min="13" max="13" width="9.5600004196167" hidden="0" customWidth="1"/>
    <x:col min="14" max="14" width="21.110000610351562" hidden="0" customWidth="1"/>
    <x:col min="15" max="15" width="7.78000020980835" hidden="0" customWidth="1"/>
    <x:col min="16" max="16" width="12.4399995803833" hidden="0" customWidth="1"/>
    <x:col min="17" max="17" width="12.220000267028809" hidden="0" customWidth="1"/>
    <x:col min="18" max="18" width="7.78000020980835" hidden="0" customWidth="1"/>
    <x:col min="19" max="19" width="21.110000610351562" hidden="0" customWidth="1"/>
    <x:col min="20" max="20" width="18.889999389648438" hidden="0" customWidth="1"/>
    <x:col min="21" max="21" width="23.329999923706055" hidden="0" customWidth="1"/>
    <x:col min="22" max="22" width="21.110000610351562" hidden="0" customWidth="1"/>
    <x:col min="23" max="23" width="15.5600004196167" hidden="0" customWidth="1"/>
  </x:cols>
  <x:sheetData>
    <x:row r="1" ht="34.5" customHeight="1">
      <x:c r="A1" s="4" t="str">
        <x:v>Qasim Guest Tracker</x:v>
      </x:c>
      <x:c r="B1" s="4" t="str">
        <x:v>Qasim Guest Tracker</x:v>
      </x:c>
      <x:c r="C1" s="4" t="str">
        <x:v>Qasim Guest Tracker</x:v>
      </x:c>
      <x:c r="D1" s="4" t="str">
        <x:v>Qasim Guest Tracker</x:v>
      </x:c>
      <x:c r="E1" s="4" t="str">
        <x:v>Qasim Guest Tracker</x:v>
      </x:c>
      <x:c r="F1" s="4" t="str">
        <x:v>Qasim Guest Tracker</x:v>
      </x:c>
      <x:c r="G1" s="4" t="str">
        <x:v>Qasim Guest Tracker</x:v>
      </x:c>
      <x:c r="H1" s="4" t="str">
        <x:v>Qasim Guest Tracker</x:v>
      </x:c>
      <x:c r="I1" s="4" t="str">
        <x:v>Qasim Guest Tracker</x:v>
      </x:c>
      <x:c r="J1" s="4" t="str">
        <x:v>Qasim Guest Tracker</x:v>
      </x:c>
      <x:c r="K1" s="4" t="str">
        <x:v>Qasim Guest Tracker</x:v>
      </x:c>
      <x:c r="L1" s="4" t="str">
        <x:v>Qasim Guest Tracker</x:v>
      </x:c>
      <x:c r="M1" s="4" t="str">
        <x:v>Qasim Guest Tracker</x:v>
      </x:c>
      <x:c r="N1" s="4" t="str">
        <x:v>Qasim Guest Tracker</x:v>
      </x:c>
      <x:c r="O1" s="4" t="str">
        <x:v>Qasim Guest Tracker</x:v>
      </x:c>
      <x:c r="P1" s="4" t="str">
        <x:v>Qasim Guest Tracker</x:v>
      </x:c>
      <x:c r="Q1" s="4" t="str">
        <x:v>Qasim Guest Tracker</x:v>
      </x:c>
      <x:c r="R1" s="4" t="str">
        <x:v>Qasim Guest Tracker</x:v>
      </x:c>
      <x:c r="S1" s="4" t="str">
        <x:v>Qasim Guest Tracker</x:v>
      </x:c>
      <x:c r="T1" s="4" t="str">
        <x:v>Qasim Guest Tracker</x:v>
      </x:c>
      <x:c r="U1" s="4" t="str">
        <x:v>Qasim Guest Tracker</x:v>
      </x:c>
      <x:c r="V1" s="4" t="str">
        <x:v>Qasim Guest Tracker</x:v>
      </x:c>
      <x:c r="W1" s="4" t="str">
        <x:v>Qasim Guest Tracker</x:v>
      </x:c>
    </x:row>
    <x:row r="2" ht="22.5" customHeight="1">
      <x:c r="A2" s="8" t="str">
        <x:v>Family and friends are split side-by-side. Website RSVPs update the Response, Actual, Events, dietary notes, personal note, and Updated At columns.</x:v>
      </x:c>
      <x:c r="B2" s="8" t="str">
        <x:v>Family and friends are split side-by-side. Website RSVPs update the Response, Actual, Events, dietary notes, personal note, and Updated At columns.</x:v>
      </x:c>
      <x:c r="C2" s="8" t="str">
        <x:v>Family and friends are split side-by-side. Website RSVPs update the Response, Actual, Events, dietary notes, personal note, and Updated At columns.</x:v>
      </x:c>
      <x:c r="D2" s="8" t="str">
        <x:v>Family and friends are split side-by-side. Website RSVPs update the Response, Actual, Events, dietary notes, personal note, and Updated At columns.</x:v>
      </x:c>
      <x:c r="E2" s="8" t="str">
        <x:v>Family and friends are split side-by-side. Website RSVPs update the Response, Actual, Events, dietary notes, personal note, and Updated At columns.</x:v>
      </x:c>
      <x:c r="F2" s="8" t="str">
        <x:v>Family and friends are split side-by-side. Website RSVPs update the Response, Actual, Events, dietary notes, personal note, and Updated At columns.</x:v>
      </x:c>
      <x:c r="G2" s="8" t="str">
        <x:v>Family and friends are split side-by-side. Website RSVPs update the Response, Actual, Events, dietary notes, personal note, and Updated At columns.</x:v>
      </x:c>
      <x:c r="H2" s="8" t="str">
        <x:v>Family and friends are split side-by-side. Website RSVPs update the Response, Actual, Events, dietary notes, personal note, and Updated At columns.</x:v>
      </x:c>
      <x:c r="I2" s="8" t="str">
        <x:v>Family and friends are split side-by-side. Website RSVPs update the Response, Actual, Events, dietary notes, personal note, and Updated At columns.</x:v>
      </x:c>
      <x:c r="J2" s="8" t="str">
        <x:v>Family and friends are split side-by-side. Website RSVPs update the Response, Actual, Events, dietary notes, personal note, and Updated At columns.</x:v>
      </x:c>
      <x:c r="K2" s="8" t="str">
        <x:v>Family and friends are split side-by-side. Website RSVPs update the Response, Actual, Events, dietary notes, personal note, and Updated At columns.</x:v>
      </x:c>
      <x:c r="L2" s="8" t="str">
        <x:v>Family and friends are split side-by-side. Website RSVPs update the Response, Actual, Events, dietary notes, personal note, and Updated At columns.</x:v>
      </x:c>
      <x:c r="M2" s="8" t="str">
        <x:v>Family and friends are split side-by-side. Website RSVPs update the Response, Actual, Events, dietary notes, personal note, and Updated At columns.</x:v>
      </x:c>
      <x:c r="N2" s="8" t="str">
        <x:v>Family and friends are split side-by-side. Website RSVPs update the Response, Actual, Events, dietary notes, personal note, and Updated At columns.</x:v>
      </x:c>
      <x:c r="O2" s="8" t="str">
        <x:v>Family and friends are split side-by-side. Website RSVPs update the Response, Actual, Events, dietary notes, personal note, and Updated At columns.</x:v>
      </x:c>
      <x:c r="P2" s="8" t="str">
        <x:v>Family and friends are split side-by-side. Website RSVPs update the Response, Actual, Events, dietary notes, personal note, and Updated At columns.</x:v>
      </x:c>
      <x:c r="Q2" s="8" t="str">
        <x:v>Family and friends are split side-by-side. Website RSVPs update the Response, Actual, Events, dietary notes, personal note, and Updated At columns.</x:v>
      </x:c>
      <x:c r="R2" s="8" t="str">
        <x:v>Family and friends are split side-by-side. Website RSVPs update the Response, Actual, Events, dietary notes, personal note, and Updated At columns.</x:v>
      </x:c>
      <x:c r="S2" s="8" t="str">
        <x:v>Family and friends are split side-by-side. Website RSVPs update the Response, Actual, Events, dietary notes, personal note, and Updated At columns.</x:v>
      </x:c>
      <x:c r="T2" s="8" t="str">
        <x:v>Family and friends are split side-by-side. Website RSVPs update the Response, Actual, Events, dietary notes, personal note, and Updated At columns.</x:v>
      </x:c>
      <x:c r="U2" s="8" t="str">
        <x:v>Family and friends are split side-by-side. Website RSVPs update the Response, Actual, Events, dietary notes, personal note, and Updated At columns.</x:v>
      </x:c>
      <x:c r="V2" s="8" t="str">
        <x:v>Family and friends are split side-by-side. Website RSVPs update the Response, Actual, Events, dietary notes, personal note, and Updated At columns.</x:v>
      </x:c>
      <x:c r="W2" s="8" t="str">
        <x:v>Family and friends are split side-by-side. Website RSVPs update the Response, Actual, Events, dietary notes, personal note, and Updated At columns.</x:v>
      </x:c>
    </x:row>
    <x:row r="4" ht="22.5" customHeight="1">
      <x:c r="A4" s="12" t="str">
        <x:v>FAMILY</x:v>
      </x:c>
      <x:c r="B4" s="12" t="str">
        <x:v>FAMILY</x:v>
      </x:c>
      <x:c r="C4" s="12" t="str">
        <x:v>FAMILY</x:v>
      </x:c>
      <x:c r="D4" s="12" t="str">
        <x:v>FAMILY</x:v>
      </x:c>
      <x:c r="E4" s="12" t="str">
        <x:v>FAMILY</x:v>
      </x:c>
      <x:c r="F4" s="12" t="str">
        <x:v>FAMILY</x:v>
      </x:c>
      <x:c r="G4" s="12" t="str">
        <x:v>FAMILY</x:v>
      </x:c>
      <x:c r="H4" s="12" t="str">
        <x:v>FAMILY</x:v>
      </x:c>
      <x:c r="I4" s="12" t="str">
        <x:v>FAMILY</x:v>
      </x:c>
      <x:c r="J4" s="12" t="str">
        <x:v>FAMILY</x:v>
      </x:c>
      <x:c r="K4" s="12" t="str">
        <x:v>FAMILY</x:v>
      </x:c>
      <x:c r="M4" s="26" t="str">
        <x:v>FRIENDS</x:v>
      </x:c>
      <x:c r="N4" s="26" t="str">
        <x:v>FRIENDS</x:v>
      </x:c>
      <x:c r="O4" s="26" t="str">
        <x:v>FRIENDS</x:v>
      </x:c>
      <x:c r="P4" s="26" t="str">
        <x:v>FRIENDS</x:v>
      </x:c>
      <x:c r="Q4" s="26" t="str">
        <x:v>FRIENDS</x:v>
      </x:c>
      <x:c r="R4" s="26" t="str">
        <x:v>FRIENDS</x:v>
      </x:c>
      <x:c r="S4" s="26" t="str">
        <x:v>FRIENDS</x:v>
      </x:c>
      <x:c r="T4" s="26" t="str">
        <x:v>FRIENDS</x:v>
      </x:c>
      <x:c r="U4" s="26" t="str">
        <x:v>FRIENDS</x:v>
      </x:c>
      <x:c r="V4" s="26" t="str">
        <x:v>FRIENDS</x:v>
      </x:c>
      <x:c r="W4" s="26" t="str">
        <x:v>FRIENDS</x:v>
      </x:c>
    </x:row>
    <x:row r="5">
      <x:c r="A5" s="16" t="str">
        <x:v>Guest ID</x:v>
      </x:c>
      <x:c r="B5" s="16" t="str">
        <x:v>Guest</x:v>
      </x:c>
      <x:c r="C5" s="16" t="str">
        <x:v>Invited</x:v>
      </x:c>
      <x:c r="D5" s="16" t="str">
        <x:v>Invite Status</x:v>
      </x:c>
      <x:c r="E5" s="16" t="str">
        <x:v>Response</x:v>
      </x:c>
      <x:c r="F5" s="16" t="str">
        <x:v>Actual</x:v>
      </x:c>
      <x:c r="G5" s="16" t="str">
        <x:v>Events</x:v>
      </x:c>
      <x:c r="H5" s="16" t="str">
        <x:v>Dietary Notes</x:v>
      </x:c>
      <x:c r="I5" s="16" t="str">
        <x:v>RSVP Message</x:v>
      </x:c>
      <x:c r="J5" s="16" t="str">
        <x:v>Notes</x:v>
      </x:c>
      <x:c r="K5" s="16" t="str">
        <x:v>Updated At</x:v>
      </x:c>
      <x:c r="M5" s="16" t="str">
        <x:v>Guest ID</x:v>
      </x:c>
      <x:c r="N5" s="16" t="str">
        <x:v>Guest</x:v>
      </x:c>
      <x:c r="O5" s="16" t="str">
        <x:v>Invited</x:v>
      </x:c>
      <x:c r="P5" s="16" t="str">
        <x:v>Invite Status</x:v>
      </x:c>
      <x:c r="Q5" s="16" t="str">
        <x:v>Response</x:v>
      </x:c>
      <x:c r="R5" s="16" t="str">
        <x:v>Actual</x:v>
      </x:c>
      <x:c r="S5" s="16" t="str">
        <x:v>Events</x:v>
      </x:c>
      <x:c r="T5" s="16" t="str">
        <x:v>Dietary Notes</x:v>
      </x:c>
      <x:c r="U5" s="16" t="str">
        <x:v>RSVP Message</x:v>
      </x:c>
      <x:c r="V5" s="16" t="str">
        <x:v>Notes</x:v>
      </x:c>
      <x:c r="W5" s="16" t="str">
        <x:v>Updated At</x:v>
      </x:c>
    </x:row>
    <x:row r="6">
      <x:c r="A6" s="20" t="str">
        <x:v>guest-001</x:v>
      </x:c>
      <x:c r="B6" s="20" t="str">
        <x:v>Haider</x:v>
      </x:c>
      <x:c r="C6" s="21" t="n">
        <x:v>1</x:v>
      </x:c>
      <x:c r="D6" s="20" t="str">
        <x:v>Not sent</x:v>
      </x:c>
      <x:c r="E6" s="20" t="str">
        <x:v>Awaiting</x:v>
      </x:c>
      <x:c r="F6" s="21" t="str"/>
      <x:c r="G6" s="20"/>
      <x:c r="H6" s="20"/>
      <x:c r="I6" s="20"/>
      <x:c r="J6" s="20" t="str"/>
      <x:c r="K6" s="22"/>
      <x:c r="M6" s="20" t="str">
        <x:v>guest-004</x:v>
      </x:c>
      <x:c r="N6" s="20" t="str">
        <x:v>Ramtin</x:v>
      </x:c>
      <x:c r="O6" s="21" t="n">
        <x:v>3</x:v>
      </x:c>
      <x:c r="P6" s="20" t="str">
        <x:v>Sent</x:v>
      </x:c>
      <x:c r="Q6" s="20" t="str">
        <x:v>Awaiting</x:v>
      </x:c>
      <x:c r="R6" s="21" t="str"/>
      <x:c r="S6" s="20"/>
      <x:c r="T6" s="20"/>
      <x:c r="U6" s="20"/>
      <x:c r="V6" s="20" t="str">
        <x:v>+2</x:v>
      </x:c>
      <x:c r="W6" s="22"/>
    </x:row>
    <x:row r="7">
      <x:c r="A7" s="20" t="str">
        <x:v>guest-002</x:v>
      </x:c>
      <x:c r="B7" s="20" t="str">
        <x:v>Phuphu / Bilal</x:v>
      </x:c>
      <x:c r="C7" s="21" t="n">
        <x:v>2</x:v>
      </x:c>
      <x:c r="D7" s="20" t="str">
        <x:v>Maybe</x:v>
      </x:c>
      <x:c r="E7" s="20" t="str">
        <x:v>Awaiting</x:v>
      </x:c>
      <x:c r="F7" s="21" t="str"/>
      <x:c r="G7" s="20"/>
      <x:c r="H7" s="20"/>
      <x:c r="I7" s="20"/>
      <x:c r="J7" s="20" t="str">
        <x:v>Needs confirmation</x:v>
      </x:c>
      <x:c r="K7" s="22"/>
      <x:c r="M7" s="20" t="str">
        <x:v>guest-005</x:v>
      </x:c>
      <x:c r="N7" s="20" t="str">
        <x:v>Ataollah</x:v>
      </x:c>
      <x:c r="O7" s="21" t="n">
        <x:v>1</x:v>
      </x:c>
      <x:c r="P7" s="20" t="str">
        <x:v>Sent</x:v>
      </x:c>
      <x:c r="Q7" s="20" t="str">
        <x:v>Awaiting</x:v>
      </x:c>
      <x:c r="R7" s="21" t="str"/>
      <x:c r="S7" s="20"/>
      <x:c r="T7" s="20"/>
      <x:c r="U7" s="20"/>
      <x:c r="V7" s="20" t="str"/>
      <x:c r="W7" s="22"/>
    </x:row>
    <x:row r="8">
      <x:c r="A8" s="20" t="str">
        <x:v>guest-003</x:v>
      </x:c>
      <x:c r="B8" s="20" t="str">
        <x:v>Dad Hura</x:v>
      </x:c>
      <x:c r="C8" s="21" t="n">
        <x:v>1</x:v>
      </x:c>
      <x:c r="D8" s="20" t="str">
        <x:v>Maybe</x:v>
      </x:c>
      <x:c r="E8" s="20" t="str">
        <x:v>Awaiting</x:v>
      </x:c>
      <x:c r="F8" s="21" t="str"/>
      <x:c r="G8" s="20"/>
      <x:c r="H8" s="20"/>
      <x:c r="I8" s="20"/>
      <x:c r="J8" s="20" t="str">
        <x:v>Needs confirmation</x:v>
      </x:c>
      <x:c r="K8" s="22"/>
      <x:c r="M8" s="20" t="str">
        <x:v>guest-006</x:v>
      </x:c>
      <x:c r="N8" s="20" t="str">
        <x:v>Arman</x:v>
      </x:c>
      <x:c r="O8" s="21" t="n">
        <x:v>2</x:v>
      </x:c>
      <x:c r="P8" s="20" t="str">
        <x:v>Sent</x:v>
      </x:c>
      <x:c r="Q8" s="20" t="str">
        <x:v>Awaiting</x:v>
      </x:c>
      <x:c r="R8" s="21" t="str"/>
      <x:c r="S8" s="20"/>
      <x:c r="T8" s="20"/>
      <x:c r="U8" s="20"/>
      <x:c r="V8" s="20" t="str">
        <x:v>+1</x:v>
      </x:c>
      <x:c r="W8" s="22"/>
    </x:row>
    <x:row r="9">
      <x:c r="M9" s="20" t="str">
        <x:v>guest-007</x:v>
      </x:c>
      <x:c r="N9" s="20" t="str">
        <x:v>Sherry</x:v>
      </x:c>
      <x:c r="O9" s="21" t="n">
        <x:v>2</x:v>
      </x:c>
      <x:c r="P9" s="20" t="str">
        <x:v>Sent</x:v>
      </x:c>
      <x:c r="Q9" s="20" t="str">
        <x:v>Awaiting</x:v>
      </x:c>
      <x:c r="R9" s="21" t="str"/>
      <x:c r="S9" s="20"/>
      <x:c r="T9" s="20"/>
      <x:c r="U9" s="20"/>
      <x:c r="V9" s="20" t="str">
        <x:v>+1</x:v>
      </x:c>
      <x:c r="W9" s="22"/>
    </x:row>
    <x:row r="10">
      <x:c r="M10" s="20" t="str">
        <x:v>guest-008</x:v>
      </x:c>
      <x:c r="N10" s="20" t="str">
        <x:v>Saahil and Rayed</x:v>
      </x:c>
      <x:c r="O10" s="21" t="n">
        <x:v>2</x:v>
      </x:c>
      <x:c r="P10" s="20" t="str">
        <x:v>Sent</x:v>
      </x:c>
      <x:c r="Q10" s="20" t="str">
        <x:v>Awaiting</x:v>
      </x:c>
      <x:c r="R10" s="21" t="str"/>
      <x:c r="S10" s="20"/>
      <x:c r="T10" s="20"/>
      <x:c r="U10" s="20"/>
      <x:c r="V10" s="20" t="str"/>
      <x:c r="W10" s="22"/>
    </x:row>
    <x:row r="11">
      <x:c r="M11" s="20" t="str">
        <x:v>guest-009</x:v>
      </x:c>
      <x:c r="N11" s="20" t="str">
        <x:v>Canva peeps</x:v>
      </x:c>
      <x:c r="O11" s="21" t="str"/>
      <x:c r="P11" s="20" t="str">
        <x:v>Sent</x:v>
      </x:c>
      <x:c r="Q11" s="20" t="str">
        <x:v>Awaiting</x:v>
      </x:c>
      <x:c r="R11" s="21" t="str"/>
      <x:c r="S11" s="20"/>
      <x:c r="T11" s="20"/>
      <x:c r="U11" s="20"/>
      <x:c r="V11" s="20" t="str">
        <x:v>Group placeholder</x:v>
      </x:c>
      <x:c r="W11" s="22"/>
    </x:row>
    <x:row r="12">
      <x:c r="M12" s="20" t="str">
        <x:v>guest-010</x:v>
      </x:c>
      <x:c r="N12" s="20" t="str">
        <x:v>Urooj</x:v>
      </x:c>
      <x:c r="O12" s="21" t="n">
        <x:v>2</x:v>
      </x:c>
      <x:c r="P12" s="20" t="str">
        <x:v>Sent</x:v>
      </x:c>
      <x:c r="Q12" s="20" t="str">
        <x:v>Awaiting</x:v>
      </x:c>
      <x:c r="R12" s="21" t="str"/>
      <x:c r="S12" s="20"/>
      <x:c r="T12" s="20"/>
      <x:c r="U12" s="20"/>
      <x:c r="V12" s="20" t="str">
        <x:v>+1</x:v>
      </x:c>
      <x:c r="W12" s="22"/>
    </x:row>
    <x:row r="13">
      <x:c r="M13" s="20" t="str">
        <x:v>guest-011</x:v>
      </x:c>
      <x:c r="N13" s="20" t="str">
        <x:v>Abdullah</x:v>
      </x:c>
      <x:c r="O13" s="21" t="n">
        <x:v>2</x:v>
      </x:c>
      <x:c r="P13" s="20" t="str">
        <x:v>Thinking</x:v>
      </x:c>
      <x:c r="Q13" s="20" t="str">
        <x:v>Awaiting</x:v>
      </x:c>
      <x:c r="R13" s="21" t="str"/>
      <x:c r="S13" s="20"/>
      <x:c r="T13" s="20"/>
      <x:c r="U13" s="20"/>
      <x:c r="V13" s="20" t="str">
        <x:v>+1</x:v>
      </x:c>
      <x:c r="W13" s="22"/>
    </x:row>
    <x:row r="14">
      <x:c r="M14" s="20" t="str">
        <x:v>guest-012</x:v>
      </x:c>
      <x:c r="N14" s="20" t="str">
        <x:v>Karthik</x:v>
      </x:c>
      <x:c r="O14" s="21" t="n">
        <x:v>4</x:v>
      </x:c>
      <x:c r="P14" s="20" t="str">
        <x:v>Thinking</x:v>
      </x:c>
      <x:c r="Q14" s="20" t="str">
        <x:v>Awaiting</x:v>
      </x:c>
      <x:c r="R14" s="21" t="str"/>
      <x:c r="S14" s="20"/>
      <x:c r="T14" s="20"/>
      <x:c r="U14" s="20"/>
      <x:c r="V14" s="20" t="str">
        <x:v>+3</x:v>
      </x:c>
      <x:c r="W14" s="22"/>
    </x:row>
    <x:row r="15">
      <x:c r="M15" s="20" t="str">
        <x:v>guest-013</x:v>
      </x:c>
      <x:c r="N15" s="20" t="str">
        <x:v>Ranjani</x:v>
      </x:c>
      <x:c r="O15" s="21" t="n">
        <x:v>2</x:v>
      </x:c>
      <x:c r="P15" s="20" t="str">
        <x:v>Sent</x:v>
      </x:c>
      <x:c r="Q15" s="20" t="str">
        <x:v>Awaiting</x:v>
      </x:c>
      <x:c r="R15" s="21" t="str"/>
      <x:c r="S15" s="20"/>
      <x:c r="T15" s="20"/>
      <x:c r="U15" s="20"/>
      <x:c r="V15" s="20" t="str">
        <x:v>+1</x:v>
      </x:c>
      <x:c r="W15" s="22"/>
    </x:row>
    <x:row r="16">
      <x:c r="M16" s="20" t="str">
        <x:v>guest-014</x:v>
      </x:c>
      <x:c r="N16" s="20" t="str">
        <x:v>Hareesh</x:v>
      </x:c>
      <x:c r="O16" s="21" t="n">
        <x:v>1</x:v>
      </x:c>
      <x:c r="P16" s="20" t="str">
        <x:v>Maybe</x:v>
      </x:c>
      <x:c r="Q16" s="20" t="str">
        <x:v>Awaiting</x:v>
      </x:c>
      <x:c r="R16" s="21" t="str"/>
      <x:c r="S16" s="20"/>
      <x:c r="T16" s="20"/>
      <x:c r="U16" s="20"/>
      <x:c r="V16" s="20" t="str">
        <x:v>Probably not</x:v>
      </x:c>
      <x:c r="W16" s="22"/>
    </x:row>
    <x:row r="17">
      <x:c r="M17" s="20" t="str">
        <x:v>guest-015</x:v>
      </x:c>
      <x:c r="N17" s="20" t="str">
        <x:v>Shak</x:v>
      </x:c>
      <x:c r="O17" s="21" t="n">
        <x:v>3</x:v>
      </x:c>
      <x:c r="P17" s="20" t="str">
        <x:v>Sent</x:v>
      </x:c>
      <x:c r="Q17" s="20" t="str">
        <x:v>Awaiting</x:v>
      </x:c>
      <x:c r="R17" s="21" t="str"/>
      <x:c r="S17" s="20"/>
      <x:c r="T17" s="20"/>
      <x:c r="U17" s="20"/>
      <x:c r="V17" s="20" t="str">
        <x:v>+2</x:v>
      </x:c>
      <x:c r="W17" s="22"/>
    </x:row>
    <x:row r="18">
      <x:c r="M18" s="20" t="str">
        <x:v>guest-016</x:v>
      </x:c>
      <x:c r="N18" s="20" t="str">
        <x:v>Shahid</x:v>
      </x:c>
      <x:c r="O18" s="21" t="n">
        <x:v>2</x:v>
      </x:c>
      <x:c r="P18" s="20" t="str">
        <x:v>Sent</x:v>
      </x:c>
      <x:c r="Q18" s="20" t="str">
        <x:v>Awaiting</x:v>
      </x:c>
      <x:c r="R18" s="21" t="str"/>
      <x:c r="S18" s="20"/>
      <x:c r="T18" s="20"/>
      <x:c r="U18" s="20"/>
      <x:c r="V18" s="20" t="str">
        <x:v>+1</x:v>
      </x:c>
      <x:c r="W18" s="22"/>
    </x:row>
    <x:row r="19">
      <x:c r="M19" s="20" t="str">
        <x:v>guest-017</x:v>
      </x:c>
      <x:c r="N19" s="20" t="str">
        <x:v>Ankit</x:v>
      </x:c>
      <x:c r="O19" s="21" t="n">
        <x:v>2</x:v>
      </x:c>
      <x:c r="P19" s="20" t="str">
        <x:v>Sent</x:v>
      </x:c>
      <x:c r="Q19" s="20" t="str">
        <x:v>Awaiting</x:v>
      </x:c>
      <x:c r="R19" s="21" t="str"/>
      <x:c r="S19" s="20"/>
      <x:c r="T19" s="20"/>
      <x:c r="U19" s="20"/>
      <x:c r="V19" s="20" t="str">
        <x:v>+1</x:v>
      </x:c>
      <x:c r="W19" s="22"/>
    </x:row>
    <x:row r="20">
      <x:c r="M20" s="20" t="str">
        <x:v>guest-018</x:v>
      </x:c>
      <x:c r="N20" s="20" t="str">
        <x:v>Hassan Shaikh</x:v>
      </x:c>
      <x:c r="O20" s="21" t="n">
        <x:v>2</x:v>
      </x:c>
      <x:c r="P20" s="20" t="str">
        <x:v>Sent</x:v>
      </x:c>
      <x:c r="Q20" s="20" t="str">
        <x:v>Awaiting</x:v>
      </x:c>
      <x:c r="R20" s="21" t="str"/>
      <x:c r="S20" s="20"/>
      <x:c r="T20" s="20"/>
      <x:c r="U20" s="20"/>
      <x:c r="V20" s="20" t="str">
        <x:v>+1</x:v>
      </x:c>
      <x:c r="W20" s="22"/>
    </x:row>
    <x:row r="21">
      <x:c r="M21" s="20" t="str">
        <x:v>guest-019</x:v>
      </x:c>
      <x:c r="N21" s="20" t="str">
        <x:v>Bassam</x:v>
      </x:c>
      <x:c r="O21" s="21" t="n">
        <x:v>1</x:v>
      </x:c>
      <x:c r="P21" s="20" t="str">
        <x:v>Sent</x:v>
      </x:c>
      <x:c r="Q21" s="20" t="str">
        <x:v>Awaiting</x:v>
      </x:c>
      <x:c r="R21" s="21" t="str"/>
      <x:c r="S21" s="20"/>
      <x:c r="T21" s="20"/>
      <x:c r="U21" s="20"/>
      <x:c r="V21" s="20" t="str"/>
      <x:c r="W21" s="22"/>
    </x:row>
    <x:row r="22">
      <x:c r="M22" s="20" t="str">
        <x:v>guest-020</x:v>
      </x:c>
      <x:c r="N22" s="20" t="str">
        <x:v>Zamzam</x:v>
      </x:c>
      <x:c r="O22" s="21" t="n">
        <x:v>2</x:v>
      </x:c>
      <x:c r="P22" s="20" t="str">
        <x:v>Sent</x:v>
      </x:c>
      <x:c r="Q22" s="20" t="str">
        <x:v>Awaiting</x:v>
      </x:c>
      <x:c r="R22" s="21" t="str"/>
      <x:c r="S22" s="20"/>
      <x:c r="T22" s="20"/>
      <x:c r="U22" s="20"/>
      <x:c r="V22" s="20" t="str">
        <x:v>+1</x:v>
      </x:c>
      <x:c r="W22" s="22"/>
    </x:row>
    <x:row r="23">
      <x:c r="M23" s="20" t="str">
        <x:v>guest-021</x:v>
      </x:c>
      <x:c r="N23" s="20" t="str">
        <x:v>Ashish</x:v>
      </x:c>
      <x:c r="O23" s="21" t="n">
        <x:v>2</x:v>
      </x:c>
      <x:c r="P23" s="20" t="str">
        <x:v>Sent</x:v>
      </x:c>
      <x:c r="Q23" s="20" t="str">
        <x:v>Awaiting</x:v>
      </x:c>
      <x:c r="R23" s="21" t="str"/>
      <x:c r="S23" s="20"/>
      <x:c r="T23" s="20"/>
      <x:c r="U23" s="20"/>
      <x:c r="V23" s="20" t="str">
        <x:v>+1</x:v>
      </x:c>
      <x:c r="W23" s="22"/>
    </x:row>
    <x:row r="24">
      <x:c r="M24" s="20" t="str">
        <x:v>guest-022</x:v>
      </x:c>
      <x:c r="N24" s="20" t="str">
        <x:v>Daniel Wong</x:v>
      </x:c>
      <x:c r="O24" s="21" t="n">
        <x:v>1</x:v>
      </x:c>
      <x:c r="P24" s="20" t="str">
        <x:v>Sent</x:v>
      </x:c>
      <x:c r="Q24" s="20" t="str">
        <x:v>Awaiting</x:v>
      </x:c>
      <x:c r="R24" s="21" t="str"/>
      <x:c r="S24" s="20"/>
      <x:c r="T24" s="20"/>
      <x:c r="U24" s="20"/>
      <x:c r="V24" s="20" t="str"/>
      <x:c r="W24" s="22"/>
    </x:row>
    <x:row r="25">
      <x:c r="M25" s="20" t="str">
        <x:v>guest-023</x:v>
      </x:c>
      <x:c r="N25" s="20" t="str">
        <x:v>David Lord</x:v>
      </x:c>
      <x:c r="O25" s="21" t="n">
        <x:v>2</x:v>
      </x:c>
      <x:c r="P25" s="20" t="str">
        <x:v>Sent</x:v>
      </x:c>
      <x:c r="Q25" s="20" t="str">
        <x:v>Awaiting</x:v>
      </x:c>
      <x:c r="R25" s="21" t="str"/>
      <x:c r="S25" s="20"/>
      <x:c r="T25" s="20"/>
      <x:c r="U25" s="20"/>
      <x:c r="V25" s="20" t="str">
        <x:v>+1</x:v>
      </x:c>
      <x:c r="W25" s="22"/>
    </x:row>
    <x:row r="26">
      <x:c r="M26" s="20" t="str">
        <x:v>guest-024</x:v>
      </x:c>
      <x:c r="N26" s="20" t="str">
        <x:v>Kiana</x:v>
      </x:c>
      <x:c r="O26" s="21" t="n">
        <x:v>2</x:v>
      </x:c>
      <x:c r="P26" s="20" t="str">
        <x:v>Sent</x:v>
      </x:c>
      <x:c r="Q26" s="20" t="str">
        <x:v>Declined</x:v>
      </x:c>
      <x:c r="R26" s="21" t="n">
        <x:v>0</x:v>
      </x:c>
      <x:c r="S26" s="20"/>
      <x:c r="T26" s="20"/>
      <x:c r="U26" s="20"/>
      <x:c r="V26" s="20" t="str">
        <x:v>+1; declined and banned from Australia</x:v>
      </x:c>
      <x:c r="W26" s="22"/>
    </x:row>
    <x:row r="27">
      <x:c r="M27" s="20" t="str">
        <x:v>guest-025</x:v>
      </x:c>
      <x:c r="N27" s="20" t="str">
        <x:v>Ehsan</x:v>
      </x:c>
      <x:c r="O27" s="21" t="n">
        <x:v>2</x:v>
      </x:c>
      <x:c r="P27" s="20" t="str">
        <x:v>Sent</x:v>
      </x:c>
      <x:c r="Q27" s="20" t="str">
        <x:v>Awaiting</x:v>
      </x:c>
      <x:c r="R27" s="21" t="str"/>
      <x:c r="S27" s="20"/>
      <x:c r="T27" s="20"/>
      <x:c r="U27" s="20"/>
      <x:c r="V27" s="20" t="str">
        <x:v>+1</x:v>
      </x:c>
      <x:c r="W27" s="22"/>
    </x:row>
    <x:row r="28">
      <x:c r="M28" s="20" t="str">
        <x:v>guest-026</x:v>
      </x:c>
      <x:c r="N28" s="20" t="str">
        <x:v>Ahmed</x:v>
      </x:c>
      <x:c r="O28" s="21" t="n">
        <x:v>2</x:v>
      </x:c>
      <x:c r="P28" s="20" t="str">
        <x:v>Maybe</x:v>
      </x:c>
      <x:c r="Q28" s="20" t="str">
        <x:v>Awaiting</x:v>
      </x:c>
      <x:c r="R28" s="21" t="str"/>
      <x:c r="S28" s="20"/>
      <x:c r="T28" s="20"/>
      <x:c r="U28" s="20"/>
      <x:c r="V28" s="20" t="str">
        <x:v>+1?</x:v>
      </x:c>
      <x:c r="W28" s="22"/>
    </x:row>
    <x:row r="29">
      <x:c r="M29" s="20" t="str">
        <x:v>guest-027</x:v>
      </x:c>
      <x:c r="N29" s="20" t="str">
        <x:v>Vishnu</x:v>
      </x:c>
      <x:c r="O29" s="21" t="n">
        <x:v>2</x:v>
      </x:c>
      <x:c r="P29" s="20" t="str">
        <x:v>Sent</x:v>
      </x:c>
      <x:c r="Q29" s="20" t="str">
        <x:v>Awaiting</x:v>
      </x:c>
      <x:c r="R29" s="21" t="str"/>
      <x:c r="S29" s="20"/>
      <x:c r="T29" s="20"/>
      <x:c r="U29" s="20"/>
      <x:c r="V29" s="20" t="str">
        <x:v>+1</x:v>
      </x:c>
      <x:c r="W29" s="22"/>
    </x:row>
    <x:row r="30">
      <x:c r="M30" s="20" t="str">
        <x:v>guest-028</x:v>
      </x:c>
      <x:c r="N30" s="20" t="str">
        <x:v>Dania</x:v>
      </x:c>
      <x:c r="O30" s="21" t="n">
        <x:v>2</x:v>
      </x:c>
      <x:c r="P30" s="20" t="str">
        <x:v>Sent</x:v>
      </x:c>
      <x:c r="Q30" s="20" t="str">
        <x:v>Awaiting</x:v>
      </x:c>
      <x:c r="R30" s="21" t="str"/>
      <x:c r="S30" s="20"/>
      <x:c r="T30" s="20"/>
      <x:c r="U30" s="20"/>
      <x:c r="V30" s="20" t="str">
        <x:v>+1</x:v>
      </x:c>
      <x:c r="W30" s="22"/>
    </x:row>
    <x:row r="31">
      <x:c r="M31" s="20" t="str">
        <x:v>guest-029</x:v>
      </x:c>
      <x:c r="N31" s="20" t="str">
        <x:v>Aishani</x:v>
      </x:c>
      <x:c r="O31" s="21" t="n">
        <x:v>2</x:v>
      </x:c>
      <x:c r="P31" s="20" t="str">
        <x:v>Sent</x:v>
      </x:c>
      <x:c r="Q31" s="20" t="str">
        <x:v>Awaiting</x:v>
      </x:c>
      <x:c r="R31" s="21" t="str"/>
      <x:c r="S31" s="20"/>
      <x:c r="T31" s="20"/>
      <x:c r="U31" s="20"/>
      <x:c r="V31" s="20" t="str">
        <x:v>+1</x:v>
      </x:c>
      <x:c r="W31" s="22"/>
    </x:row>
    <x:row r="32">
      <x:c r="M32" s="20" t="str">
        <x:v>guest-030</x:v>
      </x:c>
      <x:c r="N32" s="20" t="str">
        <x:v>Yash</x:v>
      </x:c>
      <x:c r="O32" s="21" t="n">
        <x:v>2</x:v>
      </x:c>
      <x:c r="P32" s="20" t="str">
        <x:v>Sent</x:v>
      </x:c>
      <x:c r="Q32" s="20" t="str">
        <x:v>Awaiting</x:v>
      </x:c>
      <x:c r="R32" s="21" t="str"/>
      <x:c r="S32" s="20"/>
      <x:c r="T32" s="20"/>
      <x:c r="U32" s="20"/>
      <x:c r="V32" s="20" t="str">
        <x:v>+1</x:v>
      </x:c>
      <x:c r="W32" s="22"/>
    </x:row>
  </x:sheetData>
  <x:mergeCells>
    <x:mergeCell ref="A1:W1"/>
    <x:mergeCell ref="A2:W2"/>
    <x:mergeCell ref="A4:K4"/>
    <x:mergeCell ref="M4:W4"/>
  </x:mergeCells>
  <x:conditionalFormatting sqref="E6:E8">
    <x:cfRule type="containsText" dxfId="0" priority="1" operator="containsText" text="Attending"/>
    <x:cfRule type="containsText" dxfId="1" priority="2" operator="containsText" text="Declined"/>
    <x:cfRule type="containsText" dxfId="2" priority="3" operator="containsText" text="Awaiting"/>
  </x:conditionalFormatting>
  <x:conditionalFormatting sqref="D6:D8">
    <x:cfRule type="containsText" dxfId="3" priority="4" operator="containsText" text="Sent"/>
    <x:cfRule type="containsText" dxfId="4" priority="5" operator="containsText" text="Not sent"/>
    <x:cfRule type="containsText" dxfId="5" priority="6" operator="containsText" text="Thinking"/>
  </x:conditionalFormatting>
  <x:conditionalFormatting sqref="Q6:Q32">
    <x:cfRule type="containsText" dxfId="6" priority="7" operator="containsText" text="Attending"/>
    <x:cfRule type="containsText" dxfId="7" priority="8" operator="containsText" text="Declined"/>
    <x:cfRule type="containsText" dxfId="8" priority="9" operator="containsText" text="Awaiting"/>
  </x:conditionalFormatting>
  <x:conditionalFormatting sqref="P6:P32">
    <x:cfRule type="containsText" dxfId="9" priority="10" operator="containsText" text="Sent"/>
    <x:cfRule type="containsText" dxfId="10" priority="11" operator="containsText" text="Not sent"/>
    <x:cfRule type="containsText" dxfId="11" priority="12" operator="containsText" text="Thinking"/>
  </x:conditionalFormatting>
  <x:dataValidations count="4">
    <x:dataValidation type="list" sqref="D6:D8">
      <x:formula1>"Sent,Not sent,Thinking,Maybe,Website"</x:formula1>
    </x:dataValidation>
    <x:dataValidation type="list" sqref="E6:E8">
      <x:formula1>"Awaiting,Attending,Declined"</x:formula1>
    </x:dataValidation>
    <x:dataValidation type="list" sqref="P6:P32">
      <x:formula1>"Sent,Not sent,Thinking,Maybe,Website"</x:formula1>
    </x:dataValidation>
    <x:dataValidation type="list" sqref="Q6:Q32">
      <x:formula1>"Awaiting,Attending,Declined"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ae4d7db9cf6747f3"/>
    <x:tablePart xmlns:r="http://schemas.openxmlformats.org/officeDocument/2006/relationships" r:id="R1d985aeaca2c4ad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5600004196167" hidden="0" customWidth="1"/>
    <x:col min="2" max="2" width="21.110000610351562" hidden="0" customWidth="1"/>
    <x:col min="3" max="3" width="7.78000020980835" hidden="0" customWidth="1"/>
    <x:col min="4" max="4" width="12.4399995803833" hidden="0" customWidth="1"/>
    <x:col min="5" max="5" width="12.220000267028809" hidden="0" customWidth="1"/>
    <x:col min="6" max="6" width="7.78000020980835" hidden="0" customWidth="1"/>
    <x:col min="7" max="7" width="21.110000610351562" hidden="0" customWidth="1"/>
    <x:col min="8" max="8" width="18.889999389648438" hidden="0" customWidth="1"/>
    <x:col min="9" max="9" width="23.329999923706055" hidden="0" customWidth="1"/>
    <x:col min="10" max="10" width="21.110000610351562" hidden="0" customWidth="1"/>
    <x:col min="11" max="11" width="15.5600004196167" hidden="0" customWidth="1"/>
    <x:col min="12" max="12" width="3.109999895095825" hidden="0" customWidth="1"/>
    <x:col min="13" max="13" width="9.5600004196167" hidden="0" customWidth="1"/>
    <x:col min="14" max="14" width="21.110000610351562" hidden="0" customWidth="1"/>
    <x:col min="15" max="15" width="7.78000020980835" hidden="0" customWidth="1"/>
    <x:col min="16" max="16" width="12.4399995803833" hidden="0" customWidth="1"/>
    <x:col min="17" max="17" width="12.220000267028809" hidden="0" customWidth="1"/>
    <x:col min="18" max="18" width="7.78000020980835" hidden="0" customWidth="1"/>
    <x:col min="19" max="19" width="21.110000610351562" hidden="0" customWidth="1"/>
    <x:col min="20" max="20" width="18.889999389648438" hidden="0" customWidth="1"/>
    <x:col min="21" max="21" width="23.329999923706055" hidden="0" customWidth="1"/>
    <x:col min="22" max="22" width="21.110000610351562" hidden="0" customWidth="1"/>
    <x:col min="23" max="23" width="15.5600004196167" hidden="0" customWidth="1"/>
  </x:cols>
  <x:sheetData>
    <x:row r="1" ht="34.5" customHeight="1">
      <x:c r="A1" s="4" t="str">
        <x:v>Moksha Guest Tracker</x:v>
      </x:c>
      <x:c r="B1" s="4" t="str">
        <x:v>Moksha Guest Tracker</x:v>
      </x:c>
      <x:c r="C1" s="4" t="str">
        <x:v>Moksha Guest Tracker</x:v>
      </x:c>
      <x:c r="D1" s="4" t="str">
        <x:v>Moksha Guest Tracker</x:v>
      </x:c>
      <x:c r="E1" s="4" t="str">
        <x:v>Moksha Guest Tracker</x:v>
      </x:c>
      <x:c r="F1" s="4" t="str">
        <x:v>Moksha Guest Tracker</x:v>
      </x:c>
      <x:c r="G1" s="4" t="str">
        <x:v>Moksha Guest Tracker</x:v>
      </x:c>
      <x:c r="H1" s="4" t="str">
        <x:v>Moksha Guest Tracker</x:v>
      </x:c>
      <x:c r="I1" s="4" t="str">
        <x:v>Moksha Guest Tracker</x:v>
      </x:c>
      <x:c r="J1" s="4" t="str">
        <x:v>Moksha Guest Tracker</x:v>
      </x:c>
      <x:c r="K1" s="4" t="str">
        <x:v>Moksha Guest Tracker</x:v>
      </x:c>
      <x:c r="L1" s="4" t="str">
        <x:v>Moksha Guest Tracker</x:v>
      </x:c>
      <x:c r="M1" s="4" t="str">
        <x:v>Moksha Guest Tracker</x:v>
      </x:c>
      <x:c r="N1" s="4" t="str">
        <x:v>Moksha Guest Tracker</x:v>
      </x:c>
      <x:c r="O1" s="4" t="str">
        <x:v>Moksha Guest Tracker</x:v>
      </x:c>
      <x:c r="P1" s="4" t="str">
        <x:v>Moksha Guest Tracker</x:v>
      </x:c>
      <x:c r="Q1" s="4" t="str">
        <x:v>Moksha Guest Tracker</x:v>
      </x:c>
      <x:c r="R1" s="4" t="str">
        <x:v>Moksha Guest Tracker</x:v>
      </x:c>
      <x:c r="S1" s="4" t="str">
        <x:v>Moksha Guest Tracker</x:v>
      </x:c>
      <x:c r="T1" s="4" t="str">
        <x:v>Moksha Guest Tracker</x:v>
      </x:c>
      <x:c r="U1" s="4" t="str">
        <x:v>Moksha Guest Tracker</x:v>
      </x:c>
      <x:c r="V1" s="4" t="str">
        <x:v>Moksha Guest Tracker</x:v>
      </x:c>
      <x:c r="W1" s="4" t="str">
        <x:v>Moksha Guest Tracker</x:v>
      </x:c>
    </x:row>
    <x:row r="2" ht="22.5" customHeight="1">
      <x:c r="A2" s="8" t="str">
        <x:v>Family and friends are split side-by-side. Website RSVPs update the Response, Actual, Events, dietary notes, personal note, and Updated At columns.</x:v>
      </x:c>
      <x:c r="B2" s="8" t="str">
        <x:v>Family and friends are split side-by-side. Website RSVPs update the Response, Actual, Events, dietary notes, personal note, and Updated At columns.</x:v>
      </x:c>
      <x:c r="C2" s="8" t="str">
        <x:v>Family and friends are split side-by-side. Website RSVPs update the Response, Actual, Events, dietary notes, personal note, and Updated At columns.</x:v>
      </x:c>
      <x:c r="D2" s="8" t="str">
        <x:v>Family and friends are split side-by-side. Website RSVPs update the Response, Actual, Events, dietary notes, personal note, and Updated At columns.</x:v>
      </x:c>
      <x:c r="E2" s="8" t="str">
        <x:v>Family and friends are split side-by-side. Website RSVPs update the Response, Actual, Events, dietary notes, personal note, and Updated At columns.</x:v>
      </x:c>
      <x:c r="F2" s="8" t="str">
        <x:v>Family and friends are split side-by-side. Website RSVPs update the Response, Actual, Events, dietary notes, personal note, and Updated At columns.</x:v>
      </x:c>
      <x:c r="G2" s="8" t="str">
        <x:v>Family and friends are split side-by-side. Website RSVPs update the Response, Actual, Events, dietary notes, personal note, and Updated At columns.</x:v>
      </x:c>
      <x:c r="H2" s="8" t="str">
        <x:v>Family and friends are split side-by-side. Website RSVPs update the Response, Actual, Events, dietary notes, personal note, and Updated At columns.</x:v>
      </x:c>
      <x:c r="I2" s="8" t="str">
        <x:v>Family and friends are split side-by-side. Website RSVPs update the Response, Actual, Events, dietary notes, personal note, and Updated At columns.</x:v>
      </x:c>
      <x:c r="J2" s="8" t="str">
        <x:v>Family and friends are split side-by-side. Website RSVPs update the Response, Actual, Events, dietary notes, personal note, and Updated At columns.</x:v>
      </x:c>
      <x:c r="K2" s="8" t="str">
        <x:v>Family and friends are split side-by-side. Website RSVPs update the Response, Actual, Events, dietary notes, personal note, and Updated At columns.</x:v>
      </x:c>
      <x:c r="L2" s="8" t="str">
        <x:v>Family and friends are split side-by-side. Website RSVPs update the Response, Actual, Events, dietary notes, personal note, and Updated At columns.</x:v>
      </x:c>
      <x:c r="M2" s="8" t="str">
        <x:v>Family and friends are split side-by-side. Website RSVPs update the Response, Actual, Events, dietary notes, personal note, and Updated At columns.</x:v>
      </x:c>
      <x:c r="N2" s="8" t="str">
        <x:v>Family and friends are split side-by-side. Website RSVPs update the Response, Actual, Events, dietary notes, personal note, and Updated At columns.</x:v>
      </x:c>
      <x:c r="O2" s="8" t="str">
        <x:v>Family and friends are split side-by-side. Website RSVPs update the Response, Actual, Events, dietary notes, personal note, and Updated At columns.</x:v>
      </x:c>
      <x:c r="P2" s="8" t="str">
        <x:v>Family and friends are split side-by-side. Website RSVPs update the Response, Actual, Events, dietary notes, personal note, and Updated At columns.</x:v>
      </x:c>
      <x:c r="Q2" s="8" t="str">
        <x:v>Family and friends are split side-by-side. Website RSVPs update the Response, Actual, Events, dietary notes, personal note, and Updated At columns.</x:v>
      </x:c>
      <x:c r="R2" s="8" t="str">
        <x:v>Family and friends are split side-by-side. Website RSVPs update the Response, Actual, Events, dietary notes, personal note, and Updated At columns.</x:v>
      </x:c>
      <x:c r="S2" s="8" t="str">
        <x:v>Family and friends are split side-by-side. Website RSVPs update the Response, Actual, Events, dietary notes, personal note, and Updated At columns.</x:v>
      </x:c>
      <x:c r="T2" s="8" t="str">
        <x:v>Family and friends are split side-by-side. Website RSVPs update the Response, Actual, Events, dietary notes, personal note, and Updated At columns.</x:v>
      </x:c>
      <x:c r="U2" s="8" t="str">
        <x:v>Family and friends are split side-by-side. Website RSVPs update the Response, Actual, Events, dietary notes, personal note, and Updated At columns.</x:v>
      </x:c>
      <x:c r="V2" s="8" t="str">
        <x:v>Family and friends are split side-by-side. Website RSVPs update the Response, Actual, Events, dietary notes, personal note, and Updated At columns.</x:v>
      </x:c>
      <x:c r="W2" s="8" t="str">
        <x:v>Family and friends are split side-by-side. Website RSVPs update the Response, Actual, Events, dietary notes, personal note, and Updated At columns.</x:v>
      </x:c>
    </x:row>
    <x:row r="4" ht="22.5" customHeight="1">
      <x:c r="A4" s="12" t="str">
        <x:v>FAMILY</x:v>
      </x:c>
      <x:c r="B4" s="12" t="str">
        <x:v>FAMILY</x:v>
      </x:c>
      <x:c r="C4" s="12" t="str">
        <x:v>FAMILY</x:v>
      </x:c>
      <x:c r="D4" s="12" t="str">
        <x:v>FAMILY</x:v>
      </x:c>
      <x:c r="E4" s="12" t="str">
        <x:v>FAMILY</x:v>
      </x:c>
      <x:c r="F4" s="12" t="str">
        <x:v>FAMILY</x:v>
      </x:c>
      <x:c r="G4" s="12" t="str">
        <x:v>FAMILY</x:v>
      </x:c>
      <x:c r="H4" s="12" t="str">
        <x:v>FAMILY</x:v>
      </x:c>
      <x:c r="I4" s="12" t="str">
        <x:v>FAMILY</x:v>
      </x:c>
      <x:c r="J4" s="12" t="str">
        <x:v>FAMILY</x:v>
      </x:c>
      <x:c r="K4" s="12" t="str">
        <x:v>FAMILY</x:v>
      </x:c>
      <x:c r="M4" s="26" t="str">
        <x:v>FRIENDS</x:v>
      </x:c>
      <x:c r="N4" s="26" t="str">
        <x:v>FRIENDS</x:v>
      </x:c>
      <x:c r="O4" s="26" t="str">
        <x:v>FRIENDS</x:v>
      </x:c>
      <x:c r="P4" s="26" t="str">
        <x:v>FRIENDS</x:v>
      </x:c>
      <x:c r="Q4" s="26" t="str">
        <x:v>FRIENDS</x:v>
      </x:c>
      <x:c r="R4" s="26" t="str">
        <x:v>FRIENDS</x:v>
      </x:c>
      <x:c r="S4" s="26" t="str">
        <x:v>FRIENDS</x:v>
      </x:c>
      <x:c r="T4" s="26" t="str">
        <x:v>FRIENDS</x:v>
      </x:c>
      <x:c r="U4" s="26" t="str">
        <x:v>FRIENDS</x:v>
      </x:c>
      <x:c r="V4" s="26" t="str">
        <x:v>FRIENDS</x:v>
      </x:c>
      <x:c r="W4" s="26" t="str">
        <x:v>FRIENDS</x:v>
      </x:c>
    </x:row>
    <x:row r="5">
      <x:c r="A5" s="16" t="str">
        <x:v>Guest ID</x:v>
      </x:c>
      <x:c r="B5" s="16" t="str">
        <x:v>Guest</x:v>
      </x:c>
      <x:c r="C5" s="16" t="str">
        <x:v>Invited</x:v>
      </x:c>
      <x:c r="D5" s="16" t="str">
        <x:v>Invite Status</x:v>
      </x:c>
      <x:c r="E5" s="16" t="str">
        <x:v>Response</x:v>
      </x:c>
      <x:c r="F5" s="16" t="str">
        <x:v>Actual</x:v>
      </x:c>
      <x:c r="G5" s="16" t="str">
        <x:v>Events</x:v>
      </x:c>
      <x:c r="H5" s="16" t="str">
        <x:v>Dietary Notes</x:v>
      </x:c>
      <x:c r="I5" s="16" t="str">
        <x:v>RSVP Message</x:v>
      </x:c>
      <x:c r="J5" s="16" t="str">
        <x:v>Notes</x:v>
      </x:c>
      <x:c r="K5" s="16" t="str">
        <x:v>Updated At</x:v>
      </x:c>
      <x:c r="M5" s="16" t="str">
        <x:v>Guest ID</x:v>
      </x:c>
      <x:c r="N5" s="16" t="str">
        <x:v>Guest</x:v>
      </x:c>
      <x:c r="O5" s="16" t="str">
        <x:v>Invited</x:v>
      </x:c>
      <x:c r="P5" s="16" t="str">
        <x:v>Invite Status</x:v>
      </x:c>
      <x:c r="Q5" s="16" t="str">
        <x:v>Response</x:v>
      </x:c>
      <x:c r="R5" s="16" t="str">
        <x:v>Actual</x:v>
      </x:c>
      <x:c r="S5" s="16" t="str">
        <x:v>Events</x:v>
      </x:c>
      <x:c r="T5" s="16" t="str">
        <x:v>Dietary Notes</x:v>
      </x:c>
      <x:c r="U5" s="16" t="str">
        <x:v>RSVP Message</x:v>
      </x:c>
      <x:c r="V5" s="16" t="str">
        <x:v>Notes</x:v>
      </x:c>
      <x:c r="W5" s="16" t="str">
        <x:v>Updated At</x:v>
      </x:c>
    </x:row>
    <x:row r="6">
      <x:c r="A6" s="20" t="str">
        <x:v>guest-031</x:v>
      </x:c>
      <x:c r="B6" s="20" t="str">
        <x:v>Mom and Dad</x:v>
      </x:c>
      <x:c r="C6" s="21" t="n">
        <x:v>2</x:v>
      </x:c>
      <x:c r="D6" s="20" t="str">
        <x:v>Not sent</x:v>
      </x:c>
      <x:c r="E6" s="20" t="str">
        <x:v>Awaiting</x:v>
      </x:c>
      <x:c r="F6" s="21" t="str"/>
      <x:c r="G6" s="20"/>
      <x:c r="H6" s="20"/>
      <x:c r="I6" s="20"/>
      <x:c r="J6" s="20" t="str"/>
      <x:c r="K6" s="22"/>
      <x:c r="M6" s="20" t="str">
        <x:v>guest-046</x:v>
      </x:c>
      <x:c r="N6" s="20" t="str">
        <x:v>Priyanka</x:v>
      </x:c>
      <x:c r="O6" s="21" t="n">
        <x:v>2</x:v>
      </x:c>
      <x:c r="P6" s="20" t="str">
        <x:v>Not sent</x:v>
      </x:c>
      <x:c r="Q6" s="20" t="str">
        <x:v>Awaiting</x:v>
      </x:c>
      <x:c r="R6" s="21" t="str"/>
      <x:c r="S6" s="20"/>
      <x:c r="T6" s="20"/>
      <x:c r="U6" s="20"/>
      <x:c r="V6" s="20" t="str">
        <x:v>+1</x:v>
      </x:c>
      <x:c r="W6" s="22"/>
    </x:row>
    <x:row r="7">
      <x:c r="A7" s="20" t="str">
        <x:v>guest-032</x:v>
      </x:c>
      <x:c r="B7" s="20" t="str">
        <x:v>Mayur Uncle</x:v>
      </x:c>
      <x:c r="C7" s="21" t="n">
        <x:v>3</x:v>
      </x:c>
      <x:c r="D7" s="20" t="str">
        <x:v>Not sent</x:v>
      </x:c>
      <x:c r="E7" s="20" t="str">
        <x:v>Awaiting</x:v>
      </x:c>
      <x:c r="F7" s="21" t="str"/>
      <x:c r="G7" s="20"/>
      <x:c r="H7" s="20"/>
      <x:c r="I7" s="20"/>
      <x:c r="J7" s="20" t="str">
        <x:v>+2</x:v>
      </x:c>
      <x:c r="K7" s="22"/>
      <x:c r="M7" s="20" t="str">
        <x:v>guest-047</x:v>
      </x:c>
      <x:c r="N7" s="20" t="str">
        <x:v>Manraj</x:v>
      </x:c>
      <x:c r="O7" s="21" t="n">
        <x:v>2</x:v>
      </x:c>
      <x:c r="P7" s="20" t="str">
        <x:v>Not sent</x:v>
      </x:c>
      <x:c r="Q7" s="20" t="str">
        <x:v>Awaiting</x:v>
      </x:c>
      <x:c r="R7" s="21" t="str"/>
      <x:c r="S7" s="20"/>
      <x:c r="T7" s="20"/>
      <x:c r="U7" s="20"/>
      <x:c r="V7" s="20" t="str">
        <x:v>+1</x:v>
      </x:c>
      <x:c r="W7" s="22"/>
    </x:row>
    <x:row r="8">
      <x:c r="A8" s="20" t="str">
        <x:v>guest-033</x:v>
      </x:c>
      <x:c r="B8" s="20" t="str">
        <x:v>Khushboo Aunty</x:v>
      </x:c>
      <x:c r="C8" s="21" t="n">
        <x:v>4</x:v>
      </x:c>
      <x:c r="D8" s="20" t="str">
        <x:v>Not sent</x:v>
      </x:c>
      <x:c r="E8" s="20" t="str">
        <x:v>Awaiting</x:v>
      </x:c>
      <x:c r="F8" s="21" t="str"/>
      <x:c r="G8" s="20"/>
      <x:c r="H8" s="20"/>
      <x:c r="I8" s="20"/>
      <x:c r="J8" s="20" t="str">
        <x:v>+3</x:v>
      </x:c>
      <x:c r="K8" s="22"/>
      <x:c r="M8" s="20" t="str">
        <x:v>guest-048</x:v>
      </x:c>
      <x:c r="N8" s="20" t="str">
        <x:v>Tommy</x:v>
      </x:c>
      <x:c r="O8" s="21" t="n">
        <x:v>2</x:v>
      </x:c>
      <x:c r="P8" s="20" t="str">
        <x:v>Not sent</x:v>
      </x:c>
      <x:c r="Q8" s="20" t="str">
        <x:v>Awaiting</x:v>
      </x:c>
      <x:c r="R8" s="21" t="str"/>
      <x:c r="S8" s="20"/>
      <x:c r="T8" s="20"/>
      <x:c r="U8" s="20"/>
      <x:c r="V8" s="20" t="str">
        <x:v>+1</x:v>
      </x:c>
      <x:c r="W8" s="22"/>
    </x:row>
    <x:row r="9">
      <x:c r="A9" s="20" t="str">
        <x:v>guest-034</x:v>
      </x:c>
      <x:c r="B9" s="20" t="str">
        <x:v>Sandeep Uncle</x:v>
      </x:c>
      <x:c r="C9" s="21" t="str"/>
      <x:c r="D9" s="20" t="str">
        <x:v>Not sent</x:v>
      </x:c>
      <x:c r="E9" s="20" t="str">
        <x:v>Awaiting</x:v>
      </x:c>
      <x:c r="F9" s="21" t="str"/>
      <x:c r="G9" s="20"/>
      <x:c r="H9" s="20"/>
      <x:c r="I9" s="20"/>
      <x:c r="J9" s="20" t="str">
        <x:v>+?</x:v>
      </x:c>
      <x:c r="K9" s="22"/>
      <x:c r="M9" s="20" t="str">
        <x:v>guest-049</x:v>
      </x:c>
      <x:c r="N9" s="20" t="str">
        <x:v>Sophia</x:v>
      </x:c>
      <x:c r="O9" s="21" t="n">
        <x:v>2</x:v>
      </x:c>
      <x:c r="P9" s="20" t="str">
        <x:v>Not sent</x:v>
      </x:c>
      <x:c r="Q9" s="20" t="str">
        <x:v>Awaiting</x:v>
      </x:c>
      <x:c r="R9" s="21" t="str"/>
      <x:c r="S9" s="20"/>
      <x:c r="T9" s="20"/>
      <x:c r="U9" s="20"/>
      <x:c r="V9" s="20" t="str">
        <x:v>+1</x:v>
      </x:c>
      <x:c r="W9" s="22"/>
    </x:row>
    <x:row r="10">
      <x:c r="A10" s="20" t="str">
        <x:v>guest-035</x:v>
      </x:c>
      <x:c r="B10" s="20" t="str">
        <x:v>Neetu Aunty</x:v>
      </x:c>
      <x:c r="C10" s="21" t="n">
        <x:v>3</x:v>
      </x:c>
      <x:c r="D10" s="20" t="str">
        <x:v>Not sent</x:v>
      </x:c>
      <x:c r="E10" s="20" t="str">
        <x:v>Awaiting</x:v>
      </x:c>
      <x:c r="F10" s="21" t="str"/>
      <x:c r="G10" s="20"/>
      <x:c r="H10" s="20"/>
      <x:c r="I10" s="20"/>
      <x:c r="J10" s="20" t="str">
        <x:v>+2</x:v>
      </x:c>
      <x:c r="K10" s="22"/>
      <x:c r="M10" s="20" t="str">
        <x:v>guest-050</x:v>
      </x:c>
      <x:c r="N10" s="20" t="str">
        <x:v>Erin</x:v>
      </x:c>
      <x:c r="O10" s="21" t="n">
        <x:v>1</x:v>
      </x:c>
      <x:c r="P10" s="20" t="str">
        <x:v>Not sent</x:v>
      </x:c>
      <x:c r="Q10" s="20" t="str">
        <x:v>Awaiting</x:v>
      </x:c>
      <x:c r="R10" s="21" t="str"/>
      <x:c r="S10" s="20"/>
      <x:c r="T10" s="20"/>
      <x:c r="U10" s="20"/>
      <x:c r="V10" s="20" t="str"/>
      <x:c r="W10" s="22"/>
    </x:row>
    <x:row r="11">
      <x:c r="A11" s="20" t="str">
        <x:v>guest-036</x:v>
      </x:c>
      <x:c r="B11" s="20" t="str">
        <x:v>Bharat</x:v>
      </x:c>
      <x:c r="C11" s="21" t="n">
        <x:v>2</x:v>
      </x:c>
      <x:c r="D11" s="20" t="str">
        <x:v>Not sent</x:v>
      </x:c>
      <x:c r="E11" s="20" t="str">
        <x:v>Awaiting</x:v>
      </x:c>
      <x:c r="F11" s="21" t="str"/>
      <x:c r="G11" s="20"/>
      <x:c r="H11" s="20"/>
      <x:c r="I11" s="20"/>
      <x:c r="J11" s="20" t="str">
        <x:v>+1</x:v>
      </x:c>
      <x:c r="K11" s="22"/>
      <x:c r="M11" s="20" t="str">
        <x:v>guest-051</x:v>
      </x:c>
      <x:c r="N11" s="20" t="str">
        <x:v>Benny</x:v>
      </x:c>
      <x:c r="O11" s="21" t="n">
        <x:v>2</x:v>
      </x:c>
      <x:c r="P11" s="20" t="str">
        <x:v>Not sent</x:v>
      </x:c>
      <x:c r="Q11" s="20" t="str">
        <x:v>Awaiting</x:v>
      </x:c>
      <x:c r="R11" s="21" t="str"/>
      <x:c r="S11" s="20"/>
      <x:c r="T11" s="20"/>
      <x:c r="U11" s="20"/>
      <x:c r="V11" s="20" t="str">
        <x:v>+/- 1</x:v>
      </x:c>
      <x:c r="W11" s="22"/>
    </x:row>
    <x:row r="12">
      <x:c r="A12" s="20" t="str">
        <x:v>guest-037</x:v>
      </x:c>
      <x:c r="B12" s="20" t="str">
        <x:v>Khatore</x:v>
      </x:c>
      <x:c r="C12" s="21" t="n">
        <x:v>4</x:v>
      </x:c>
      <x:c r="D12" s="20" t="str">
        <x:v>Not sent</x:v>
      </x:c>
      <x:c r="E12" s="20" t="str">
        <x:v>Awaiting</x:v>
      </x:c>
      <x:c r="F12" s="21" t="str"/>
      <x:c r="G12" s="20"/>
      <x:c r="H12" s="20"/>
      <x:c r="I12" s="20"/>
      <x:c r="J12" s="20" t="str">
        <x:v>+3</x:v>
      </x:c>
      <x:c r="K12" s="22"/>
      <x:c r="M12" s="20" t="str">
        <x:v>guest-052</x:v>
      </x:c>
      <x:c r="N12" s="20" t="str">
        <x:v>Sarah</x:v>
      </x:c>
      <x:c r="O12" s="21" t="n">
        <x:v>2</x:v>
      </x:c>
      <x:c r="P12" s="20" t="str">
        <x:v>Not sent</x:v>
      </x:c>
      <x:c r="Q12" s="20" t="str">
        <x:v>Awaiting</x:v>
      </x:c>
      <x:c r="R12" s="21" t="str"/>
      <x:c r="S12" s="20"/>
      <x:c r="T12" s="20"/>
      <x:c r="U12" s="20"/>
      <x:c r="V12" s="20" t="str">
        <x:v>+/- 1</x:v>
      </x:c>
      <x:c r="W12" s="22"/>
    </x:row>
    <x:row r="13">
      <x:c r="A13" s="20" t="str">
        <x:v>guest-038</x:v>
      </x:c>
      <x:c r="B13" s="20" t="str">
        <x:v>Jatin</x:v>
      </x:c>
      <x:c r="C13" s="21" t="n">
        <x:v>2</x:v>
      </x:c>
      <x:c r="D13" s="20" t="str">
        <x:v>Not sent</x:v>
      </x:c>
      <x:c r="E13" s="20" t="str">
        <x:v>Awaiting</x:v>
      </x:c>
      <x:c r="F13" s="21" t="str"/>
      <x:c r="G13" s="20"/>
      <x:c r="H13" s="20"/>
      <x:c r="I13" s="20"/>
      <x:c r="J13" s="20" t="str">
        <x:v>+1</x:v>
      </x:c>
      <x:c r="K13" s="22"/>
      <x:c r="M13" s="20" t="str">
        <x:v>guest-053</x:v>
      </x:c>
      <x:c r="N13" s="20" t="str">
        <x:v>Dharma</x:v>
      </x:c>
      <x:c r="O13" s="21" t="n">
        <x:v>2</x:v>
      </x:c>
      <x:c r="P13" s="20" t="str">
        <x:v>Not sent</x:v>
      </x:c>
      <x:c r="Q13" s="20" t="str">
        <x:v>Awaiting</x:v>
      </x:c>
      <x:c r="R13" s="21" t="str"/>
      <x:c r="S13" s="20"/>
      <x:c r="T13" s="20"/>
      <x:c r="U13" s="20"/>
      <x:c r="V13" s="20" t="str">
        <x:v>+1</x:v>
      </x:c>
      <x:c r="W13" s="22"/>
    </x:row>
    <x:row r="14">
      <x:c r="A14" s="20" t="str">
        <x:v>guest-039</x:v>
      </x:c>
      <x:c r="B14" s="20" t="str">
        <x:v>Linda</x:v>
      </x:c>
      <x:c r="C14" s="21" t="n">
        <x:v>3</x:v>
      </x:c>
      <x:c r="D14" s="20" t="str">
        <x:v>Not sent</x:v>
      </x:c>
      <x:c r="E14" s="20" t="str">
        <x:v>Awaiting</x:v>
      </x:c>
      <x:c r="F14" s="21" t="str"/>
      <x:c r="G14" s="20"/>
      <x:c r="H14" s="20"/>
      <x:c r="I14" s="20"/>
      <x:c r="J14" s="20" t="str">
        <x:v>+2</x:v>
      </x:c>
      <x:c r="K14" s="22"/>
      <x:c r="M14" s="20" t="str">
        <x:v>guest-054</x:v>
      </x:c>
      <x:c r="N14" s="20" t="str">
        <x:v>David</x:v>
      </x:c>
      <x:c r="O14" s="21" t="n">
        <x:v>1</x:v>
      </x:c>
      <x:c r="P14" s="20" t="str">
        <x:v>Not sent</x:v>
      </x:c>
      <x:c r="Q14" s="20" t="str">
        <x:v>Awaiting</x:v>
      </x:c>
      <x:c r="R14" s="21" t="str"/>
      <x:c r="S14" s="20"/>
      <x:c r="T14" s="20"/>
      <x:c r="U14" s="20"/>
      <x:c r="V14" s="20" t="str"/>
      <x:c r="W14" s="22"/>
    </x:row>
    <x:row r="15">
      <x:c r="A15" s="20" t="str">
        <x:v>guest-040</x:v>
      </x:c>
      <x:c r="B15" s="20" t="str">
        <x:v>Dee Aunty</x:v>
      </x:c>
      <x:c r="C15" s="21" t="n">
        <x:v>2</x:v>
      </x:c>
      <x:c r="D15" s="20" t="str">
        <x:v>Not sent</x:v>
      </x:c>
      <x:c r="E15" s="20" t="str">
        <x:v>Awaiting</x:v>
      </x:c>
      <x:c r="F15" s="21" t="str"/>
      <x:c r="G15" s="20"/>
      <x:c r="H15" s="20"/>
      <x:c r="I15" s="20"/>
      <x:c r="J15" s="20" t="str">
        <x:v>+</x:v>
      </x:c>
      <x:c r="K15" s="22"/>
      <x:c r="M15" s="20" t="str">
        <x:v>guest-055</x:v>
      </x:c>
      <x:c r="N15" s="20" t="str">
        <x:v>Anna</x:v>
      </x:c>
      <x:c r="O15" s="21" t="n">
        <x:v>3</x:v>
      </x:c>
      <x:c r="P15" s="20" t="str">
        <x:v>Not sent</x:v>
      </x:c>
      <x:c r="Q15" s="20" t="str">
        <x:v>Awaiting</x:v>
      </x:c>
      <x:c r="R15" s="21" t="str"/>
      <x:c r="S15" s="20"/>
      <x:c r="T15" s="20"/>
      <x:c r="U15" s="20"/>
      <x:c r="V15" s="20" t="str">
        <x:v>+2</x:v>
      </x:c>
      <x:c r="W15" s="22"/>
    </x:row>
    <x:row r="16">
      <x:c r="A16" s="20" t="str">
        <x:v>guest-041</x:v>
      </x:c>
      <x:c r="B16" s="20" t="str">
        <x:v>Shalini Aunty</x:v>
      </x:c>
      <x:c r="C16" s="21" t="n">
        <x:v>2</x:v>
      </x:c>
      <x:c r="D16" s="20" t="str">
        <x:v>Not sent</x:v>
      </x:c>
      <x:c r="E16" s="20" t="str">
        <x:v>Awaiting</x:v>
      </x:c>
      <x:c r="F16" s="21" t="str"/>
      <x:c r="G16" s="20"/>
      <x:c r="H16" s="20"/>
      <x:c r="I16" s="20"/>
      <x:c r="J16" s="20" t="str">
        <x:v>+</x:v>
      </x:c>
      <x:c r="K16" s="22"/>
      <x:c r="M16" s="20" t="str">
        <x:v>guest-056</x:v>
      </x:c>
      <x:c r="N16" s="20" t="str">
        <x:v>Teanna</x:v>
      </x:c>
      <x:c r="O16" s="21" t="n">
        <x:v>2</x:v>
      </x:c>
      <x:c r="P16" s="20" t="str">
        <x:v>Not sent</x:v>
      </x:c>
      <x:c r="Q16" s="20" t="str">
        <x:v>Awaiting</x:v>
      </x:c>
      <x:c r="R16" s="21" t="str"/>
      <x:c r="S16" s="20"/>
      <x:c r="T16" s="20"/>
      <x:c r="U16" s="20"/>
      <x:c r="V16" s="20" t="str">
        <x:v>+1</x:v>
      </x:c>
      <x:c r="W16" s="22"/>
    </x:row>
    <x:row r="17">
      <x:c r="A17" s="20" t="str">
        <x:v>guest-042</x:v>
      </x:c>
      <x:c r="B17" s="20" t="str">
        <x:v>Smeeta</x:v>
      </x:c>
      <x:c r="C17" s="21" t="n">
        <x:v>2</x:v>
      </x:c>
      <x:c r="D17" s="20" t="str">
        <x:v>Not sent</x:v>
      </x:c>
      <x:c r="E17" s="20" t="str">
        <x:v>Awaiting</x:v>
      </x:c>
      <x:c r="F17" s="21" t="str"/>
      <x:c r="G17" s="20"/>
      <x:c r="H17" s="20"/>
      <x:c r="I17" s="20"/>
      <x:c r="J17" s="20" t="str">
        <x:v>+</x:v>
      </x:c>
      <x:c r="K17" s="22"/>
      <x:c r="M17" s="20" t="str">
        <x:v>guest-057</x:v>
      </x:c>
      <x:c r="N17" s="20" t="str">
        <x:v>Debbie</x:v>
      </x:c>
      <x:c r="O17" s="21" t="n">
        <x:v>2</x:v>
      </x:c>
      <x:c r="P17" s="20" t="str">
        <x:v>Not sent</x:v>
      </x:c>
      <x:c r="Q17" s="20" t="str">
        <x:v>Awaiting</x:v>
      </x:c>
      <x:c r="R17" s="21" t="str"/>
      <x:c r="S17" s="20"/>
      <x:c r="T17" s="20"/>
      <x:c r="U17" s="20"/>
      <x:c r="V17" s="20" t="str">
        <x:v>+1</x:v>
      </x:c>
      <x:c r="W17" s="22"/>
    </x:row>
    <x:row r="18">
      <x:c r="A18" s="20" t="str">
        <x:v>guest-043</x:v>
      </x:c>
      <x:c r="B18" s="20" t="str">
        <x:v>Sidhu</x:v>
      </x:c>
      <x:c r="C18" s="21" t="n">
        <x:v>1</x:v>
      </x:c>
      <x:c r="D18" s="20" t="str">
        <x:v>Not sent</x:v>
      </x:c>
      <x:c r="E18" s="20" t="str">
        <x:v>Awaiting</x:v>
      </x:c>
      <x:c r="F18" s="21" t="str"/>
      <x:c r="G18" s="20"/>
      <x:c r="H18" s="20"/>
      <x:c r="I18" s="20"/>
      <x:c r="J18" s="20" t="str"/>
      <x:c r="K18" s="22"/>
      <x:c r="M18" s="20" t="str">
        <x:v>guest-058</x:v>
      </x:c>
      <x:c r="N18" s="20" t="str">
        <x:v>Jonathan</x:v>
      </x:c>
      <x:c r="O18" s="21" t="n">
        <x:v>1</x:v>
      </x:c>
      <x:c r="P18" s="20" t="str">
        <x:v>Not sent</x:v>
      </x:c>
      <x:c r="Q18" s="20" t="str">
        <x:v>Awaiting</x:v>
      </x:c>
      <x:c r="R18" s="21" t="str"/>
      <x:c r="S18" s="20"/>
      <x:c r="T18" s="20"/>
      <x:c r="U18" s="20"/>
      <x:c r="V18" s="20" t="str"/>
      <x:c r="W18" s="22"/>
    </x:row>
    <x:row r="19">
      <x:c r="A19" s="20" t="str">
        <x:v>guest-044</x:v>
      </x:c>
      <x:c r="B19" s="20" t="str">
        <x:v>Solanki</x:v>
      </x:c>
      <x:c r="C19" s="21" t="n">
        <x:v>1</x:v>
      </x:c>
      <x:c r="D19" s="20" t="str">
        <x:v>Not sent</x:v>
      </x:c>
      <x:c r="E19" s="20" t="str">
        <x:v>Awaiting</x:v>
      </x:c>
      <x:c r="F19" s="21" t="str"/>
      <x:c r="G19" s="20"/>
      <x:c r="H19" s="20"/>
      <x:c r="I19" s="20"/>
      <x:c r="J19" s="20" t="str"/>
      <x:c r="K19" s="22"/>
      <x:c r="M19" s="20" t="str">
        <x:v>guest-059</x:v>
      </x:c>
      <x:c r="N19" s="20" t="str">
        <x:v>Rose</x:v>
      </x:c>
      <x:c r="O19" s="21" t="n">
        <x:v>1</x:v>
      </x:c>
      <x:c r="P19" s="20" t="str">
        <x:v>Not sent</x:v>
      </x:c>
      <x:c r="Q19" s="20" t="str">
        <x:v>Awaiting</x:v>
      </x:c>
      <x:c r="R19" s="21" t="str"/>
      <x:c r="S19" s="20"/>
      <x:c r="T19" s="20"/>
      <x:c r="U19" s="20"/>
      <x:c r="V19" s="20" t="str"/>
      <x:c r="W19" s="22"/>
    </x:row>
    <x:row r="20">
      <x:c r="A20" s="20" t="str">
        <x:v>guest-045</x:v>
      </x:c>
      <x:c r="B20" s="20" t="str">
        <x:v>Sameer</x:v>
      </x:c>
      <x:c r="C20" s="21" t="n">
        <x:v>1</x:v>
      </x:c>
      <x:c r="D20" s="20" t="str">
        <x:v>Not sent</x:v>
      </x:c>
      <x:c r="E20" s="20" t="str">
        <x:v>Awaiting</x:v>
      </x:c>
      <x:c r="F20" s="21" t="str"/>
      <x:c r="G20" s="20"/>
      <x:c r="H20" s="20"/>
      <x:c r="I20" s="20"/>
      <x:c r="J20" s="20" t="str"/>
      <x:c r="K20" s="22"/>
      <x:c r="M20" s="20" t="str">
        <x:v>guest-060</x:v>
      </x:c>
      <x:c r="N20" s="20" t="str">
        <x:v>Eva</x:v>
      </x:c>
      <x:c r="O20" s="21" t="n">
        <x:v>2</x:v>
      </x:c>
      <x:c r="P20" s="20" t="str">
        <x:v>Not sent</x:v>
      </x:c>
      <x:c r="Q20" s="20" t="str">
        <x:v>Awaiting</x:v>
      </x:c>
      <x:c r="R20" s="21" t="str"/>
      <x:c r="S20" s="20"/>
      <x:c r="T20" s="20"/>
      <x:c r="U20" s="20"/>
      <x:c r="V20" s="20" t="str">
        <x:v>+1</x:v>
      </x:c>
      <x:c r="W20" s="22"/>
    </x:row>
    <x:row r="21">
      <x:c r="M21" s="20" t="str">
        <x:v>guest-061</x:v>
      </x:c>
      <x:c r="N21" s="20" t="str">
        <x:v>Sandhya</x:v>
      </x:c>
      <x:c r="O21" s="21" t="n">
        <x:v>2</x:v>
      </x:c>
      <x:c r="P21" s="20" t="str">
        <x:v>Not sent</x:v>
      </x:c>
      <x:c r="Q21" s="20" t="str">
        <x:v>Awaiting</x:v>
      </x:c>
      <x:c r="R21" s="21" t="str"/>
      <x:c r="S21" s="20"/>
      <x:c r="T21" s="20"/>
      <x:c r="U21" s="20"/>
      <x:c r="V21" s="20" t="str">
        <x:v>+1</x:v>
      </x:c>
      <x:c r="W21" s="22"/>
    </x:row>
    <x:row r="22">
      <x:c r="M22" s="20" t="str">
        <x:v>guest-062</x:v>
      </x:c>
      <x:c r="N22" s="20" t="str">
        <x:v>Madhu</x:v>
      </x:c>
      <x:c r="O22" s="21" t="n">
        <x:v>2</x:v>
      </x:c>
      <x:c r="P22" s="20" t="str">
        <x:v>Not sent</x:v>
      </x:c>
      <x:c r="Q22" s="20" t="str">
        <x:v>Awaiting</x:v>
      </x:c>
      <x:c r="R22" s="21" t="str"/>
      <x:c r="S22" s="20"/>
      <x:c r="T22" s="20"/>
      <x:c r="U22" s="20"/>
      <x:c r="V22" s="20" t="str">
        <x:v>+1</x:v>
      </x:c>
      <x:c r="W22" s="22"/>
    </x:row>
    <x:row r="23">
      <x:c r="M23" s="20" t="str">
        <x:v>guest-063</x:v>
      </x:c>
      <x:c r="N23" s="20" t="str">
        <x:v>May</x:v>
      </x:c>
      <x:c r="O23" s="21" t="n">
        <x:v>2</x:v>
      </x:c>
      <x:c r="P23" s="20" t="str">
        <x:v>Not sent</x:v>
      </x:c>
      <x:c r="Q23" s="20" t="str">
        <x:v>Awaiting</x:v>
      </x:c>
      <x:c r="R23" s="21" t="str"/>
      <x:c r="S23" s="20"/>
      <x:c r="T23" s="20"/>
      <x:c r="U23" s="20"/>
      <x:c r="V23" s="20" t="str">
        <x:v>+1</x:v>
      </x:c>
      <x:c r="W23" s="22"/>
    </x:row>
    <x:row r="24">
      <x:c r="M24" s="20" t="str">
        <x:v>guest-064</x:v>
      </x:c>
      <x:c r="N24" s="20" t="str">
        <x:v>Kristen</x:v>
      </x:c>
      <x:c r="O24" s="21" t="n">
        <x:v>1</x:v>
      </x:c>
      <x:c r="P24" s="20" t="str">
        <x:v>Not sent</x:v>
      </x:c>
      <x:c r="Q24" s="20" t="str">
        <x:v>Awaiting</x:v>
      </x:c>
      <x:c r="R24" s="21" t="str"/>
      <x:c r="S24" s="20"/>
      <x:c r="T24" s="20"/>
      <x:c r="U24" s="20"/>
      <x:c r="V24" s="20" t="str"/>
      <x:c r="W24" s="22"/>
    </x:row>
    <x:row r="25">
      <x:c r="M25" s="20" t="str">
        <x:v>guest-065</x:v>
      </x:c>
      <x:c r="N25" s="20" t="str">
        <x:v>Shenani</x:v>
      </x:c>
      <x:c r="O25" s="21" t="n">
        <x:v>1</x:v>
      </x:c>
      <x:c r="P25" s="20" t="str">
        <x:v>Not sent</x:v>
      </x:c>
      <x:c r="Q25" s="20" t="str">
        <x:v>Awaiting</x:v>
      </x:c>
      <x:c r="R25" s="21" t="str"/>
      <x:c r="S25" s="20"/>
      <x:c r="T25" s="20"/>
      <x:c r="U25" s="20"/>
      <x:c r="V25" s="20" t="str"/>
      <x:c r="W25" s="22"/>
    </x:row>
    <x:row r="26">
      <x:c r="M26" s="20" t="str">
        <x:v>guest-066</x:v>
      </x:c>
      <x:c r="N26" s="20" t="str">
        <x:v>Iman</x:v>
      </x:c>
      <x:c r="O26" s="21" t="n">
        <x:v>1</x:v>
      </x:c>
      <x:c r="P26" s="20" t="str">
        <x:v>Not sent</x:v>
      </x:c>
      <x:c r="Q26" s="20" t="str">
        <x:v>Awaiting</x:v>
      </x:c>
      <x:c r="R26" s="21" t="str"/>
      <x:c r="S26" s="20"/>
      <x:c r="T26" s="20"/>
      <x:c r="U26" s="20"/>
      <x:c r="V26" s="20" t="str"/>
      <x:c r="W26" s="22"/>
    </x:row>
    <x:row r="27">
      <x:c r="M27" s="20" t="str">
        <x:v>guest-067</x:v>
      </x:c>
      <x:c r="N27" s="20" t="str">
        <x:v>Michelle</x:v>
      </x:c>
      <x:c r="O27" s="21" t="n">
        <x:v>1</x:v>
      </x:c>
      <x:c r="P27" s="20" t="str">
        <x:v>Not sent</x:v>
      </x:c>
      <x:c r="Q27" s="20" t="str">
        <x:v>Awaiting</x:v>
      </x:c>
      <x:c r="R27" s="21" t="str"/>
      <x:c r="S27" s="20"/>
      <x:c r="T27" s="20"/>
      <x:c r="U27" s="20"/>
      <x:c r="V27" s="20" t="str"/>
      <x:c r="W27" s="22"/>
    </x:row>
    <x:row r="28">
      <x:c r="M28" s="20" t="str">
        <x:v>guest-068</x:v>
      </x:c>
      <x:c r="N28" s="20" t="str">
        <x:v>Sharity</x:v>
      </x:c>
      <x:c r="O28" s="21" t="n">
        <x:v>1</x:v>
      </x:c>
      <x:c r="P28" s="20" t="str">
        <x:v>Not sent</x:v>
      </x:c>
      <x:c r="Q28" s="20" t="str">
        <x:v>Awaiting</x:v>
      </x:c>
      <x:c r="R28" s="21" t="str"/>
      <x:c r="S28" s="20"/>
      <x:c r="T28" s="20"/>
      <x:c r="U28" s="20"/>
      <x:c r="V28" s="20" t="str"/>
      <x:c r="W28" s="22"/>
    </x:row>
    <x:row r="29">
      <x:c r="M29" s="20" t="str">
        <x:v>guest-069</x:v>
      </x:c>
      <x:c r="N29" s="20" t="str">
        <x:v>Alex</x:v>
      </x:c>
      <x:c r="O29" s="21" t="n">
        <x:v>1</x:v>
      </x:c>
      <x:c r="P29" s="20" t="str">
        <x:v>Not sent</x:v>
      </x:c>
      <x:c r="Q29" s="20" t="str">
        <x:v>Awaiting</x:v>
      </x:c>
      <x:c r="R29" s="21" t="str"/>
      <x:c r="S29" s="20"/>
      <x:c r="T29" s="20"/>
      <x:c r="U29" s="20"/>
      <x:c r="V29" s="20" t="str"/>
      <x:c r="W29" s="22"/>
    </x:row>
    <x:row r="30">
      <x:c r="M30" s="20" t="str">
        <x:v>guest-070</x:v>
      </x:c>
      <x:c r="N30" s="20" t="str">
        <x:v>Will</x:v>
      </x:c>
      <x:c r="O30" s="21" t="n">
        <x:v>2</x:v>
      </x:c>
      <x:c r="P30" s="20" t="str">
        <x:v>Not sent</x:v>
      </x:c>
      <x:c r="Q30" s="20" t="str">
        <x:v>Awaiting</x:v>
      </x:c>
      <x:c r="R30" s="21" t="str"/>
      <x:c r="S30" s="20"/>
      <x:c r="T30" s="20"/>
      <x:c r="U30" s="20"/>
      <x:c r="V30" s="20" t="str">
        <x:v>+1</x:v>
      </x:c>
      <x:c r="W30" s="22"/>
    </x:row>
  </x:sheetData>
  <x:mergeCells>
    <x:mergeCell ref="A1:W1"/>
    <x:mergeCell ref="A2:W2"/>
    <x:mergeCell ref="A4:K4"/>
    <x:mergeCell ref="M4:W4"/>
  </x:mergeCells>
  <x:conditionalFormatting sqref="E6:E20">
    <x:cfRule type="containsText" dxfId="12" priority="1" operator="containsText" text="Attending"/>
    <x:cfRule type="containsText" dxfId="13" priority="2" operator="containsText" text="Declined"/>
    <x:cfRule type="containsText" dxfId="14" priority="3" operator="containsText" text="Awaiting"/>
  </x:conditionalFormatting>
  <x:conditionalFormatting sqref="D6:D20">
    <x:cfRule type="containsText" dxfId="15" priority="4" operator="containsText" text="Sent"/>
    <x:cfRule type="containsText" dxfId="16" priority="5" operator="containsText" text="Not sent"/>
    <x:cfRule type="containsText" dxfId="17" priority="6" operator="containsText" text="Thinking"/>
  </x:conditionalFormatting>
  <x:conditionalFormatting sqref="Q6:Q30">
    <x:cfRule type="containsText" dxfId="18" priority="7" operator="containsText" text="Attending"/>
    <x:cfRule type="containsText" dxfId="19" priority="8" operator="containsText" text="Declined"/>
    <x:cfRule type="containsText" dxfId="20" priority="9" operator="containsText" text="Awaiting"/>
  </x:conditionalFormatting>
  <x:conditionalFormatting sqref="P6:P30">
    <x:cfRule type="containsText" dxfId="21" priority="10" operator="containsText" text="Sent"/>
    <x:cfRule type="containsText" dxfId="22" priority="11" operator="containsText" text="Not sent"/>
    <x:cfRule type="containsText" dxfId="23" priority="12" operator="containsText" text="Thinking"/>
  </x:conditionalFormatting>
  <x:dataValidations count="4">
    <x:dataValidation type="list" sqref="D6:D20">
      <x:formula1>"Sent,Not sent,Thinking,Maybe,Website"</x:formula1>
    </x:dataValidation>
    <x:dataValidation type="list" sqref="E6:E20">
      <x:formula1>"Awaiting,Attending,Declined"</x:formula1>
    </x:dataValidation>
    <x:dataValidation type="list" sqref="P6:P30">
      <x:formula1>"Sent,Not sent,Thinking,Maybe,Website"</x:formula1>
    </x:dataValidation>
    <x:dataValidation type="list" sqref="Q6:Q30">
      <x:formula1>"Awaiting,Attending,Declined"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9925decaf0424937"/>
    <x:tablePart xmlns:r="http://schemas.openxmlformats.org/officeDocument/2006/relationships" r:id="R058610751c27456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20000267028809" hidden="0" customWidth="1"/>
    <x:col min="2" max="2" width="12.220000267028809" hidden="0" customWidth="1"/>
    <x:col min="3" max="3" width="11.109999656677246" hidden="0" customWidth="1"/>
    <x:col min="4" max="4" width="11.109999656677246" hidden="0" customWidth="1"/>
    <x:col min="5" max="5" width="11.109999656677246" hidden="0" customWidth="1"/>
    <x:col min="6" max="6" width="11.109999656677246" hidden="0" customWidth="1"/>
    <x:col min="7" max="7" width="11.109999656677246" hidden="0" customWidth="1"/>
    <x:col min="8" max="8" width="11.109999656677246" hidden="0" customWidth="1"/>
    <x:col min="9" max="9" width="14.4399995803833" hidden="0" customWidth="1"/>
    <x:col min="10" max="10" width="12.220000267028809" hidden="0" customWidth="1"/>
  </x:cols>
  <x:sheetData>
    <x:row r="1" ht="34.5" customHeight="1">
      <x:c r="A1" s="4" t="str">
        <x:v>Wedding RSVP Summary</x:v>
      </x:c>
      <x:c r="B1" s="4" t="str">
        <x:v>Wedding RSVP Summary</x:v>
      </x:c>
      <x:c r="C1" s="4" t="str">
        <x:v>Wedding RSVP Summary</x:v>
      </x:c>
      <x:c r="D1" s="4" t="str">
        <x:v>Wedding RSVP Summary</x:v>
      </x:c>
      <x:c r="E1" s="4" t="str">
        <x:v>Wedding RSVP Summary</x:v>
      </x:c>
      <x:c r="F1" s="4" t="str">
        <x:v>Wedding RSVP Summary</x:v>
      </x:c>
      <x:c r="G1" s="4" t="str">
        <x:v>Wedding RSVP Summary</x:v>
      </x:c>
      <x:c r="H1" s="4" t="str">
        <x:v>Wedding RSVP Summary</x:v>
      </x:c>
      <x:c r="I1" s="4" t="str">
        <x:v>Wedding RSVP Summary</x:v>
      </x:c>
      <x:c r="J1" s="4" t="str">
        <x:v>Wedding RSVP Summary</x:v>
      </x:c>
    </x:row>
    <x:row r="3">
      <x:c r="A3" s="30" t="str">
        <x:v>Guest rows</x:v>
      </x:c>
      <x:c r="B3" s="30" t="str"/>
      <x:c r="C3" s="30" t="str">
        <x:v>Invited count</x:v>
      </x:c>
      <x:c r="D3" s="30" t="str"/>
      <x:c r="E3" s="30" t="str">
        <x:v>Attending</x:v>
      </x:c>
      <x:c r="F3" s="30" t="str"/>
      <x:c r="G3" s="30" t="str">
        <x:v>Declined</x:v>
      </x:c>
      <x:c r="H3" s="30" t="str"/>
      <x:c r="I3" s="30" t="str">
        <x:v>Awaiting</x:v>
      </x:c>
      <x:c r="J3" s="30" t="str"/>
    </x:row>
    <x:row r="4">
      <x:c r="A4" s="30" t="str"/>
      <x:c r="B4" s="31" t="n">
        <x:f>SUM(C8:C11)</x:f>
        <x:v>70</x:v>
      </x:c>
      <x:c r="C4" s="30" t="str"/>
      <x:c r="D4" s="30" t="n">
        <x:f>SUM(D8:D11)</x:f>
        <x:v>129</x:v>
      </x:c>
      <x:c r="E4" s="30" t="str"/>
      <x:c r="F4" s="30" t="n">
        <x:f>SUM(E8:E11)</x:f>
        <x:v>0</x:v>
      </x:c>
      <x:c r="G4" s="30" t="str"/>
      <x:c r="H4" s="30" t="n">
        <x:f>SUM(F8:F11)</x:f>
        <x:v>1</x:v>
      </x:c>
      <x:c r="I4" s="30" t="str"/>
      <x:c r="J4" s="30" t="n">
        <x:f>SUM(G8:G11)</x:f>
        <x:v>69</x:v>
      </x:c>
    </x:row>
    <x:row r="7">
      <x:c r="A7" s="16" t="str">
        <x:v>Party</x:v>
      </x:c>
      <x:c r="B7" s="16" t="str">
        <x:v>Group</x:v>
      </x:c>
      <x:c r="C7" s="16" t="str">
        <x:v>Guest Rows</x:v>
      </x:c>
      <x:c r="D7" s="16" t="str">
        <x:v>Invited</x:v>
      </x:c>
      <x:c r="E7" s="16" t="str">
        <x:v>Attending</x:v>
      </x:c>
      <x:c r="F7" s="16" t="str">
        <x:v>Declined</x:v>
      </x:c>
      <x:c r="G7" s="16" t="str">
        <x:v>Awaiting</x:v>
      </x:c>
      <x:c r="H7" s="16" t="str">
        <x:v>Not Sent</x:v>
      </x:c>
      <x:c r="I7" s="16" t="str">
        <x:v>Maybe / Thinking</x:v>
      </x:c>
    </x:row>
    <x:row r="8">
      <x:c r="A8" s="20" t="str">
        <x:v>Qasim</x:v>
      </x:c>
      <x:c r="B8" s="20" t="str">
        <x:v>Family</x:v>
      </x:c>
      <x:c r="C8" s="20" t="n">
        <x:f>COUNTA('Qasim'!A6:A105)</x:f>
        <x:v>3</x:v>
      </x:c>
      <x:c r="D8" s="20" t="n">
        <x:f>SUM('Qasim'!C6:C105)</x:f>
        <x:v>4</x:v>
      </x:c>
      <x:c r="E8" s="20" t="n">
        <x:f>SUM('Qasim'!F6:F105)</x:f>
        <x:v>0</x:v>
      </x:c>
      <x:c r="F8" s="20" t="n">
        <x:f>COUNTIF('Qasim'!E6:E105,"Declined")</x:f>
        <x:v>0</x:v>
      </x:c>
      <x:c r="G8" s="20" t="n">
        <x:f>COUNTIF('Qasim'!E6:E105,"Awaiting")</x:f>
        <x:v>3</x:v>
      </x:c>
      <x:c r="H8" s="20" t="n">
        <x:f>COUNTIF('Qasim'!D6:D105,"Not sent")</x:f>
        <x:v>1</x:v>
      </x:c>
      <x:c r="I8" s="20" t="n">
        <x:f>COUNTIF('Qasim'!D6:D105,"Thinking")+COUNTIF('Qasim'!D6:D105,"Maybe")</x:f>
        <x:v>2</x:v>
      </x:c>
    </x:row>
    <x:row r="9">
      <x:c r="A9" s="20" t="str">
        <x:v>Qasim</x:v>
      </x:c>
      <x:c r="B9" s="20" t="str">
        <x:v>Friends</x:v>
      </x:c>
      <x:c r="C9" s="20" t="n">
        <x:f>COUNTA('Qasim'!M6:M105)</x:f>
        <x:v>27</x:v>
      </x:c>
      <x:c r="D9" s="20" t="n">
        <x:f>SUM('Qasim'!O6:O105)</x:f>
        <x:v>52</x:v>
      </x:c>
      <x:c r="E9" s="20" t="n">
        <x:f>SUM('Qasim'!R6:R105)</x:f>
        <x:v>0</x:v>
      </x:c>
      <x:c r="F9" s="20" t="n">
        <x:f>COUNTIF('Qasim'!Q6:Q105,"Declined")</x:f>
        <x:v>1</x:v>
      </x:c>
      <x:c r="G9" s="20" t="n">
        <x:f>COUNTIF('Qasim'!Q6:Q105,"Awaiting")</x:f>
        <x:v>26</x:v>
      </x:c>
      <x:c r="H9" s="20" t="n">
        <x:f>COUNTIF('Qasim'!P6:P105,"Not sent")</x:f>
        <x:v>0</x:v>
      </x:c>
      <x:c r="I9" s="20" t="n">
        <x:f>COUNTIF('Qasim'!P6:P105,"Thinking")+COUNTIF('Qasim'!P6:P105,"Maybe")</x:f>
        <x:v>4</x:v>
      </x:c>
    </x:row>
    <x:row r="10">
      <x:c r="A10" s="20" t="str">
        <x:v>Moksha</x:v>
      </x:c>
      <x:c r="B10" s="20" t="str">
        <x:v>Family</x:v>
      </x:c>
      <x:c r="C10" s="20" t="n">
        <x:f>COUNTA('Moksha'!A6:A105)</x:f>
        <x:v>15</x:v>
      </x:c>
      <x:c r="D10" s="20" t="n">
        <x:f>SUM('Moksha'!C6:C105)</x:f>
        <x:v>32</x:v>
      </x:c>
      <x:c r="E10" s="20" t="n">
        <x:f>SUM('Moksha'!F6:F105)</x:f>
        <x:v>0</x:v>
      </x:c>
      <x:c r="F10" s="20" t="n">
        <x:f>COUNTIF('Moksha'!E6:E105,"Declined")</x:f>
        <x:v>0</x:v>
      </x:c>
      <x:c r="G10" s="20" t="n">
        <x:f>COUNTIF('Moksha'!E6:E105,"Awaiting")</x:f>
        <x:v>15</x:v>
      </x:c>
      <x:c r="H10" s="20" t="n">
        <x:f>COUNTIF('Moksha'!D6:D105,"Not sent")</x:f>
        <x:v>15</x:v>
      </x:c>
      <x:c r="I10" s="20" t="n">
        <x:f>COUNTIF('Moksha'!D6:D105,"Thinking")+COUNTIF('Moksha'!D6:D105,"Maybe")</x:f>
        <x:v>0</x:v>
      </x:c>
    </x:row>
    <x:row r="11">
      <x:c r="A11" s="20" t="str">
        <x:v>Moksha</x:v>
      </x:c>
      <x:c r="B11" s="20" t="str">
        <x:v>Friends</x:v>
      </x:c>
      <x:c r="C11" s="20" t="n">
        <x:f>COUNTA('Moksha'!M6:M105)</x:f>
        <x:v>25</x:v>
      </x:c>
      <x:c r="D11" s="20" t="n">
        <x:f>SUM('Moksha'!O6:O105)</x:f>
        <x:v>41</x:v>
      </x:c>
      <x:c r="E11" s="20" t="n">
        <x:f>SUM('Moksha'!R6:R105)</x:f>
        <x:v>0</x:v>
      </x:c>
      <x:c r="F11" s="20" t="n">
        <x:f>COUNTIF('Moksha'!Q6:Q105,"Declined")</x:f>
        <x:v>0</x:v>
      </x:c>
      <x:c r="G11" s="20" t="n">
        <x:f>COUNTIF('Moksha'!Q6:Q105,"Awaiting")</x:f>
        <x:v>25</x:v>
      </x:c>
      <x:c r="H11" s="20" t="n">
        <x:f>COUNTIF('Moksha'!P6:P105,"Not sent")</x:f>
        <x:v>25</x:v>
      </x:c>
      <x:c r="I11" s="20" t="n">
        <x:f>COUNTIF('Moksha'!P6:P105,"Thinking")+COUNTIF('Moksha'!P6:P105,"Maybe")</x:f>
        <x:v>0</x:v>
      </x:c>
    </x:row>
    <x:row r="14">
      <x:c r="A14" s="16" t="str">
        <x:v>Response</x:v>
      </x:c>
      <x:c r="B14" s="16" t="str">
        <x:v>Count</x:v>
      </x:c>
      <x:c r="C14" s="16" t="str">
        <x:v>Share</x:v>
      </x:c>
    </x:row>
    <x:row r="15">
      <x:c r="A15" s="20" t="str">
        <x:v>Attending</x:v>
      </x:c>
      <x:c r="B15" s="20" t="n">
        <x:f>F4</x:f>
        <x:v>0</x:v>
      </x:c>
      <x:c r="C15" s="32" t="n">
        <x:f>IF(SUM($B$15:$B$17)=0,0,B15/SUM($B$15:$B$17))</x:f>
        <x:v>0</x:v>
      </x:c>
    </x:row>
    <x:row r="16">
      <x:c r="A16" s="20" t="str">
        <x:v>Declined</x:v>
      </x:c>
      <x:c r="B16" s="20" t="n">
        <x:f>H4</x:f>
        <x:v>1</x:v>
      </x:c>
      <x:c r="C16" s="32" t="n">
        <x:f>IF(SUM($B$15:$B$17)=0,0,B16/SUM($B$15:$B$17))</x:f>
        <x:v>0.014285714285714285</x:v>
      </x:c>
    </x:row>
    <x:row r="17">
      <x:c r="A17" s="20" t="str">
        <x:v>Awaiting</x:v>
      </x:c>
      <x:c r="B17" s="20" t="n">
        <x:f>J4</x:f>
        <x:v>69</x:v>
      </x:c>
      <x:c r="C17" s="32" t="n">
        <x:f>IF(SUM($B$15:$B$17)=0,0,B17/SUM($B$15:$B$17))</x:f>
        <x:v>0.9857142857142858</x:v>
      </x:c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68fc50be0d1146d0"/>
</x:worksheet>
</file>